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ROHIT'S WORK\BANK RECONCILIATION\"/>
    </mc:Choice>
  </mc:AlternateContent>
  <xr:revisionPtr revIDLastSave="0" documentId="13_ncr:1_{DA82D077-10F9-47E5-A72C-596D9759E17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ank_Statement_Input" sheetId="1" r:id="rId1"/>
  </sheets>
  <calcPr calcId="181029"/>
</workbook>
</file>

<file path=xl/calcChain.xml><?xml version="1.0" encoding="utf-8"?>
<calcChain xmlns="http://schemas.openxmlformats.org/spreadsheetml/2006/main"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" i="1"/>
</calcChain>
</file>

<file path=xl/sharedStrings.xml><?xml version="1.0" encoding="utf-8"?>
<sst xmlns="http://schemas.openxmlformats.org/spreadsheetml/2006/main" count="1768" uniqueCount="853">
  <si>
    <t>Value Date</t>
  </si>
  <si>
    <t>Bank Ref No.</t>
  </si>
  <si>
    <t>Transaction Description</t>
  </si>
  <si>
    <t>Debit (INR)</t>
  </si>
  <si>
    <t>Credit (INR)</t>
  </si>
  <si>
    <t>HDFC-20250401-94752</t>
  </si>
  <si>
    <t>FD Interest Credit – HDFC Bank (Apr 2025)</t>
  </si>
  <si>
    <t>HDFC-20250401-59708</t>
  </si>
  <si>
    <t>HDFC-20250401-99407</t>
  </si>
  <si>
    <t>Bank Service Charges – Apr 2025</t>
  </si>
  <si>
    <t>HDFC-20250401-22709</t>
  </si>
  <si>
    <t>GST on Bank Charges – Apr 2025</t>
  </si>
  <si>
    <t>HDFC-20250404-33061</t>
  </si>
  <si>
    <t>Security Deposit – Colors TV (Viacom18)</t>
  </si>
  <si>
    <t>HDFC-20250407-93131</t>
  </si>
  <si>
    <t>FD Placement – HDFC Bank (FD-4)</t>
  </si>
  <si>
    <t>HDFC-20250408-53214</t>
  </si>
  <si>
    <t>Customer Payment – Lionsgate Play</t>
  </si>
  <si>
    <t>HDFC-20250408-84660</t>
  </si>
  <si>
    <t>Customer Receipt Net of TDS – Colors TV (Viacom18)</t>
  </si>
  <si>
    <t>HDFC-20250409-77204</t>
  </si>
  <si>
    <t>Advance Received – NDTV Profit</t>
  </si>
  <si>
    <t>HDFC-20250409-87789</t>
  </si>
  <si>
    <t>Insurance Premium</t>
  </si>
  <si>
    <t>HDFC-20250410-16259</t>
  </si>
  <si>
    <t>Advance Received – Zee Entertainment Ltd</t>
  </si>
  <si>
    <t>HDFC-20250410-12822</t>
  </si>
  <si>
    <t>Security Deposit – Sony LIV India</t>
  </si>
  <si>
    <t>HDFC-20250411-36696</t>
  </si>
  <si>
    <t>POS/Gateway Receipt – Eros Now</t>
  </si>
  <si>
    <t>HDFC-20250412-86407</t>
  </si>
  <si>
    <t>Customer Receipt Net of TDS – Voot Digital</t>
  </si>
  <si>
    <t>HDFC-20250413-25055</t>
  </si>
  <si>
    <t>Customer Receipt Net of TDS – Zee Entertainment Ltd</t>
  </si>
  <si>
    <t>HDFC-20250414-76564</t>
  </si>
  <si>
    <t>Ad-hoc Customer Receipt – Discovery Plus India</t>
  </si>
  <si>
    <t>HDFC-20250415-64751</t>
  </si>
  <si>
    <t>Advance Received – Voot Digital</t>
  </si>
  <si>
    <t>HDFC-20250415-21545</t>
  </si>
  <si>
    <t>PF Contribution – Apr 2025</t>
  </si>
  <si>
    <t>HDFC-20250415-41679</t>
  </si>
  <si>
    <t>ESI Contribution – Apr 2025</t>
  </si>
  <si>
    <t>HDFC-20250417-72092</t>
  </si>
  <si>
    <t>Customer Payment – Eros Now</t>
  </si>
  <si>
    <t>HDFC-20250421-98850</t>
  </si>
  <si>
    <t>Advance Received – Lionsgate Play</t>
  </si>
  <si>
    <t>HDFC-20250422-17643</t>
  </si>
  <si>
    <t>Customer Receipt Net of TDS – Sun TV Network</t>
  </si>
  <si>
    <t>HDFC-20250424-89726</t>
  </si>
  <si>
    <t>Excess Payment Reversed – Amazon miniTV</t>
  </si>
  <si>
    <t>HDFC-20250427-46671</t>
  </si>
  <si>
    <t>FD Placement – HDFC Bank (FD-1)</t>
  </si>
  <si>
    <t>HDFC-20250428-53848</t>
  </si>
  <si>
    <t>Salary Disbursement – Apr 2025</t>
  </si>
  <si>
    <t>HDFC-20250428-39113</t>
  </si>
  <si>
    <t>Security Deposit – Disney+ Hotstar</t>
  </si>
  <si>
    <t>HDFC-20250430-38353</t>
  </si>
  <si>
    <t>Customer Payment – Sun TV Network</t>
  </si>
  <si>
    <t>HDFC-20250430-62070</t>
  </si>
  <si>
    <t>Customer Receipt Net of TDS – JioCinema</t>
  </si>
  <si>
    <t>HDFC-20250430-73525</t>
  </si>
  <si>
    <t>Advance Received – Amazon miniTV</t>
  </si>
  <si>
    <t>HDFC-20250430-26475</t>
  </si>
  <si>
    <t>Advance Received – EPIC ON</t>
  </si>
  <si>
    <t>HDFC-20250501-31831</t>
  </si>
  <si>
    <t>FD Interest Credit – HDFC Bank (May 2025)</t>
  </si>
  <si>
    <t>HDFC-20250501-56387</t>
  </si>
  <si>
    <t>HDFC-20250501-84284</t>
  </si>
  <si>
    <t>Bank Service Charges – May 2025</t>
  </si>
  <si>
    <t>HDFC-20250501-68176</t>
  </si>
  <si>
    <t>GST on Bank Charges – May 2025</t>
  </si>
  <si>
    <t>HDFC-20250501-10566</t>
  </si>
  <si>
    <t>Office Rent – May 2025</t>
  </si>
  <si>
    <t>HDFC-20250501-20793</t>
  </si>
  <si>
    <t>Refund Issued – ShemarooMe</t>
  </si>
  <si>
    <t>HDFC-20250502-26926</t>
  </si>
  <si>
    <t>HDFC-20250503-19235</t>
  </si>
  <si>
    <t>Security Deposit – ALTBalaji</t>
  </si>
  <si>
    <t>HDFC-20250503-70017</t>
  </si>
  <si>
    <t>Refund Issued – Sony LIV India</t>
  </si>
  <si>
    <t>HDFC-20250503-99264</t>
  </si>
  <si>
    <t>Ad-hoc Customer Receipt – ALTBalaji</t>
  </si>
  <si>
    <t>HDFC-20250506-29686</t>
  </si>
  <si>
    <t>Advance Received – FanCode</t>
  </si>
  <si>
    <t>HDFC-20250506-26833</t>
  </si>
  <si>
    <t>POS/Gateway Receipt – Lionsgate Play</t>
  </si>
  <si>
    <t>HDFC-20250511-67551</t>
  </si>
  <si>
    <t>Advance Received – Disney+ Hotstar</t>
  </si>
  <si>
    <t>HDFC-20250512-54007</t>
  </si>
  <si>
    <t>Customer Receipt Net of TDS – Sony LIV India</t>
  </si>
  <si>
    <t>HDFC-20250514-45756</t>
  </si>
  <si>
    <t>Advance Received – MX Player</t>
  </si>
  <si>
    <t>HDFC-20250514-91360</t>
  </si>
  <si>
    <t>Security Deposit – Voot Digital</t>
  </si>
  <si>
    <t>HDFC-20250515-56357</t>
  </si>
  <si>
    <t>Advance Received – Hungama Play</t>
  </si>
  <si>
    <t>HDFC-20250515-49153</t>
  </si>
  <si>
    <t>PF Contribution – May 2025</t>
  </si>
  <si>
    <t>HDFC-20250515-35122</t>
  </si>
  <si>
    <t>ESI Contribution – May 2025</t>
  </si>
  <si>
    <t>HDFC-20250516-75948</t>
  </si>
  <si>
    <t>EMI Receipt – Colors TV (Viacom18) (EMI 1)</t>
  </si>
  <si>
    <t>HDFC-20250517-77981</t>
  </si>
  <si>
    <t>Customer Payment – NDTV Profit</t>
  </si>
  <si>
    <t>HDFC-20250518-98785</t>
  </si>
  <si>
    <t>Customer Payment – SonyLIV Sports</t>
  </si>
  <si>
    <t>HDFC-20250519-42107</t>
  </si>
  <si>
    <t>Security Deposit – Zee Entertainment Ltd</t>
  </si>
  <si>
    <t>HDFC-20250520-51468</t>
  </si>
  <si>
    <t>Customer Payment – ShemarooMe</t>
  </si>
  <si>
    <t>HDFC-20250520-50607</t>
  </si>
  <si>
    <t>Customer Payment – Hungama Play</t>
  </si>
  <si>
    <t>HDFC-20250520-31710</t>
  </si>
  <si>
    <t>GST Payment – May 2025</t>
  </si>
  <si>
    <t>HDFC-20250520-49831</t>
  </si>
  <si>
    <t>POS/Gateway Receipt – MX Player</t>
  </si>
  <si>
    <t>HDFC-20250521-51677</t>
  </si>
  <si>
    <t>Excess Payment Reversed – Zee Entertainment Ltd</t>
  </si>
  <si>
    <t>HDFC-20250521-58465</t>
  </si>
  <si>
    <t>Penalty Recovery – Sony LIV India</t>
  </si>
  <si>
    <t>HDFC-20250521-58198</t>
  </si>
  <si>
    <t>Ad-hoc Customer Receipt – Amazon miniTV</t>
  </si>
  <si>
    <t>HDFC-20250522-67385</t>
  </si>
  <si>
    <t>EMI Receipt – Sony LIV India (EMI 1)</t>
  </si>
  <si>
    <t>HDFC-20250522-81984</t>
  </si>
  <si>
    <t>Courier Charges</t>
  </si>
  <si>
    <t>HDFC-20250525-34006</t>
  </si>
  <si>
    <t>POS/Gateway Receipt – Hungama Play</t>
  </si>
  <si>
    <t>HDFC-20250527-61729</t>
  </si>
  <si>
    <t>HDFC-20250528-14530</t>
  </si>
  <si>
    <t>Salary Disbursement – May 2025</t>
  </si>
  <si>
    <t>HDFC-20250528-50214</t>
  </si>
  <si>
    <t>Internet Charges</t>
  </si>
  <si>
    <t>HDFC-20250529-82779</t>
  </si>
  <si>
    <t>Advance Received – Sony LIV India</t>
  </si>
  <si>
    <t>HDFC-20250529-34704</t>
  </si>
  <si>
    <t>Advance Received – ALTBalaji</t>
  </si>
  <si>
    <t>HDFC-20250529-54366</t>
  </si>
  <si>
    <t>FD Placement – HDFC Bank (FD-2)</t>
  </si>
  <si>
    <t>HDFC-20250529-21665</t>
  </si>
  <si>
    <t>Debit Note Recovery – Zee Entertainment Ltd</t>
  </si>
  <si>
    <t>HDFC-20250530-18146</t>
  </si>
  <si>
    <t>Unidentified NEFT Receipt – Ref 1626</t>
  </si>
  <si>
    <t>HDFC-20250530-62215</t>
  </si>
  <si>
    <t>Security Agency Charges</t>
  </si>
  <si>
    <t>HDFC-20250531-40350</t>
  </si>
  <si>
    <t>HDFC-20250531-90607</t>
  </si>
  <si>
    <t>HDFC-20250531-88965</t>
  </si>
  <si>
    <t>HDFC-20250531-20509</t>
  </si>
  <si>
    <t>HDFC-20250531-84129</t>
  </si>
  <si>
    <t>HDFC-20250605-48793</t>
  </si>
  <si>
    <t>Customer Payment – MX Player</t>
  </si>
  <si>
    <t>HDFC-20250605-49029</t>
  </si>
  <si>
    <t>Debit Note Recovery – Colors TV (Viacom18)</t>
  </si>
  <si>
    <t>HDFC-20250607-12320</t>
  </si>
  <si>
    <t>Telephone Bill</t>
  </si>
  <si>
    <t>HDFC-20250608-30111</t>
  </si>
  <si>
    <t>Security Deposit – Sun TV Network</t>
  </si>
  <si>
    <t>HDFC-20250609-23721</t>
  </si>
  <si>
    <t>POS/Gateway Receipt – Voot Digital</t>
  </si>
  <si>
    <t>HDFC-20250609-26992</t>
  </si>
  <si>
    <t>Ad-hoc Customer Receipt – ShemarooMe</t>
  </si>
  <si>
    <t>HDFC-20250610-96093</t>
  </si>
  <si>
    <t>Advance Received – JioCinema</t>
  </si>
  <si>
    <t>HDFC-20250611-68530</t>
  </si>
  <si>
    <t>HDFC-20250612-29718</t>
  </si>
  <si>
    <t>Customer Payment – Voot Digital</t>
  </si>
  <si>
    <t>HDFC-20250612-64635</t>
  </si>
  <si>
    <t>Cheque Deposit – Amazon miniTV (CHQ376726)</t>
  </si>
  <si>
    <t>HDFC-20250613-42918</t>
  </si>
  <si>
    <t>Customer Payment – Colors TV (Viacom18)</t>
  </si>
  <si>
    <t>HDFC-20250614-63127</t>
  </si>
  <si>
    <t>Customer Payment – EPIC ON</t>
  </si>
  <si>
    <t>HDFC-20250614-71344</t>
  </si>
  <si>
    <t>Cheque Return – Amazon miniTV Insufficient Funds (CHQ376726)</t>
  </si>
  <si>
    <t>HDFC-20250614-83449</t>
  </si>
  <si>
    <t>Bounce Penalty – Amazon miniTV</t>
  </si>
  <si>
    <t>HDFC-20250614-87089</t>
  </si>
  <si>
    <t>Customer Receipt Net of TDS – MX Player</t>
  </si>
  <si>
    <t>HDFC-20250614-25011</t>
  </si>
  <si>
    <t>PF Contribution – Jun 2025</t>
  </si>
  <si>
    <t>HDFC-20250614-29215</t>
  </si>
  <si>
    <t>ESI Contribution – Jun 2025</t>
  </si>
  <si>
    <t>HDFC-20250615-23979</t>
  </si>
  <si>
    <t>Advance Tax Payment – 1th Installment FY2025-26</t>
  </si>
  <si>
    <t>HDFC-20250616-14355</t>
  </si>
  <si>
    <t>Overdue Interest Recovered – Disney+ Hotstar</t>
  </si>
  <si>
    <t>HDFC-20250616-12600</t>
  </si>
  <si>
    <t>FD Placement – HDFC Bank (FD-3)</t>
  </si>
  <si>
    <t>HDFC-20250619-83526</t>
  </si>
  <si>
    <t>HDFC-20250619-40581</t>
  </si>
  <si>
    <t>GST Payment – Jun 2025</t>
  </si>
  <si>
    <t>HDFC-20250622-10097</t>
  </si>
  <si>
    <t>Security Deposit – Amazon miniTV</t>
  </si>
  <si>
    <t>HDFC-20250623-55554</t>
  </si>
  <si>
    <t>IT Support</t>
  </si>
  <si>
    <t>HDFC-20250627-77021</t>
  </si>
  <si>
    <t>Advance Received – Sun TV Network</t>
  </si>
  <si>
    <t>HDFC-20250627-45477</t>
  </si>
  <si>
    <t>Salary Disbursement – Jun 2025</t>
  </si>
  <si>
    <t>HDFC-20250628-85092</t>
  </si>
  <si>
    <t>Refund Issued – Hungama Play</t>
  </si>
  <si>
    <t>HDFC-20250628-53110</t>
  </si>
  <si>
    <t>Generator Service</t>
  </si>
  <si>
    <t>HDFC-20250629-45818</t>
  </si>
  <si>
    <t>Overdue Interest Recovered – Sony LIV India</t>
  </si>
  <si>
    <t>HDFC-20250629-22120</t>
  </si>
  <si>
    <t>Ad-hoc Customer Receipt – Zee Entertainment Ltd</t>
  </si>
  <si>
    <t>HDFC-20250630-89726</t>
  </si>
  <si>
    <t>FD Interest Credit – HDFC Bank (Jun 2025)</t>
  </si>
  <si>
    <t>HDFC-20250630-90096</t>
  </si>
  <si>
    <t>HDFC-20250630-31819</t>
  </si>
  <si>
    <t>Bank Service Charges – Jun 2025</t>
  </si>
  <si>
    <t>HDFC-20250630-68186</t>
  </si>
  <si>
    <t>GST on Bank Charges – Jun 2025</t>
  </si>
  <si>
    <t>HDFC-20250630-13763</t>
  </si>
  <si>
    <t>Office Rent – Jun 2025</t>
  </si>
  <si>
    <t>HDFC-20250701-47000</t>
  </si>
  <si>
    <t>EMI Receipt – ALTBalaji (EMI 1)</t>
  </si>
  <si>
    <t>HDFC-20250701-19797</t>
  </si>
  <si>
    <t>Customer Receipt Net of TDS – FanCode</t>
  </si>
  <si>
    <t>HDFC-20250701-49984</t>
  </si>
  <si>
    <t>Excess Payment Reversed – ShemarooMe</t>
  </si>
  <si>
    <t>HDFC-20250702-13295</t>
  </si>
  <si>
    <t>Debit Note Recovery – Sony LIV India</t>
  </si>
  <si>
    <t>HDFC-20250703-19259</t>
  </si>
  <si>
    <t>Advance Received – Eros Now</t>
  </si>
  <si>
    <t>HDFC-20250704-63723</t>
  </si>
  <si>
    <t>Customer Payment – JioCinema</t>
  </si>
  <si>
    <t>HDFC-20250704-34946</t>
  </si>
  <si>
    <t>POS/Gateway Receipt – JioCinema</t>
  </si>
  <si>
    <t>HDFC-20250705-96546</t>
  </si>
  <si>
    <t>Customer Payment – Amazon miniTV</t>
  </si>
  <si>
    <t>HDFC-20250705-24390</t>
  </si>
  <si>
    <t>HDFC-20250706-42562</t>
  </si>
  <si>
    <t>HDFC-20250706-54408</t>
  </si>
  <si>
    <t>HDFC-20250706-57164</t>
  </si>
  <si>
    <t>Customer Receipt Net of TDS – SonyLIV Sports</t>
  </si>
  <si>
    <t>HDFC-20250707-58889</t>
  </si>
  <si>
    <t>Customer Payment – Discovery Plus India</t>
  </si>
  <si>
    <t>HDFC-20250707-29509</t>
  </si>
  <si>
    <t>TDS Payment to Govt – Q1 FY2025-26</t>
  </si>
  <si>
    <t>HDFC-20250710-75697</t>
  </si>
  <si>
    <t>Customer Payment – FanCode</t>
  </si>
  <si>
    <t>HDFC-20250714-85661</t>
  </si>
  <si>
    <t>Unidentified NEFT Receipt – Ref 5176</t>
  </si>
  <si>
    <t>HDFC-20250714-43792</t>
  </si>
  <si>
    <t>PF Contribution – Jul 2025</t>
  </si>
  <si>
    <t>HDFC-20250714-50698</t>
  </si>
  <si>
    <t>ESI Contribution – Jul 2025</t>
  </si>
  <si>
    <t>HDFC-20250714-27644</t>
  </si>
  <si>
    <t>Ad-hoc Customer Receipt – Voot Digital</t>
  </si>
  <si>
    <t>HDFC-20250716-70647</t>
  </si>
  <si>
    <t>Customer Payment – Zee Entertainment Ltd</t>
  </si>
  <si>
    <t>HDFC-20250717-93942</t>
  </si>
  <si>
    <t>HDFC-20250719-80033</t>
  </si>
  <si>
    <t>HDFC-20250719-66972</t>
  </si>
  <si>
    <t>GST Payment – Jul 2025</t>
  </si>
  <si>
    <t>HDFC-20250723-70487</t>
  </si>
  <si>
    <t>HDFC-20250723-43761</t>
  </si>
  <si>
    <t>Customer Payment – Doordarshan OTT</t>
  </si>
  <si>
    <t>HDFC-20250723-53880</t>
  </si>
  <si>
    <t>Debit Note Recovery – Disney+ Hotstar</t>
  </si>
  <si>
    <t>HDFC-20250724-40140</t>
  </si>
  <si>
    <t>Refund Issued – Disney+ Hotstar</t>
  </si>
  <si>
    <t>HDFC-20250725-60870</t>
  </si>
  <si>
    <t>HDFC-20250725-67896</t>
  </si>
  <si>
    <t>Customer Payment – Disney+ Hotstar</t>
  </si>
  <si>
    <t>HDFC-20250727-35907</t>
  </si>
  <si>
    <t>Cheque Deposit – Zee Entertainment Ltd (CHQ453209)</t>
  </si>
  <si>
    <t>HDFC-20250727-81824</t>
  </si>
  <si>
    <t>Salary Disbursement – Jul 2025</t>
  </si>
  <si>
    <t>HDFC-20250727-52737</t>
  </si>
  <si>
    <t>Software Subscription – SAP</t>
  </si>
  <si>
    <t>HDFC-20250729-55269</t>
  </si>
  <si>
    <t>Cheque Return – Zee Entertainment Ltd Insufficient Funds (CHQ453209)</t>
  </si>
  <si>
    <t>HDFC-20250729-10565</t>
  </si>
  <si>
    <t>Bounce Penalty – Zee Entertainment Ltd</t>
  </si>
  <si>
    <t>HDFC-20250730-31116</t>
  </si>
  <si>
    <t>FD Interest Credit – HDFC Bank (Jul 2025)</t>
  </si>
  <si>
    <t>HDFC-20250730-54576</t>
  </si>
  <si>
    <t>HDFC-20250730-43161</t>
  </si>
  <si>
    <t>Bank Service Charges – Jul 2025</t>
  </si>
  <si>
    <t>HDFC-20250730-51077</t>
  </si>
  <si>
    <t>GST on Bank Charges – Jul 2025</t>
  </si>
  <si>
    <t>HDFC-20250730-36481</t>
  </si>
  <si>
    <t>Office Rent – Jul 2025</t>
  </si>
  <si>
    <t>HDFC-20250731-98381</t>
  </si>
  <si>
    <t>EMI Receipt – Zee Entertainment Ltd (EMI 1)</t>
  </si>
  <si>
    <t>HDFC-20250731-26282</t>
  </si>
  <si>
    <t>Ad-hoc Customer Receipt – JioCinema</t>
  </si>
  <si>
    <t>HDFC-20250802-35214</t>
  </si>
  <si>
    <t>FD Maturity Receipt – HDFC (FD-1)</t>
  </si>
  <si>
    <t>HDFC-20250804-80069</t>
  </si>
  <si>
    <t>Pest Control</t>
  </si>
  <si>
    <t>HDFC-20250805-40308</t>
  </si>
  <si>
    <t>Cheque Deposit – Colors TV (Viacom18) (CHQ879108)</t>
  </si>
  <si>
    <t>HDFC-20250807-63509</t>
  </si>
  <si>
    <t>Cheque Return – Colors TV (Viacom18) Insufficient Funds (CHQ879108)</t>
  </si>
  <si>
    <t>HDFC-20250807-55290</t>
  </si>
  <si>
    <t>Bounce Penalty – Colors TV (Viacom18)</t>
  </si>
  <si>
    <t>HDFC-20250807-14604</t>
  </si>
  <si>
    <t>HDFC-20250808-67968</t>
  </si>
  <si>
    <t>Electricity Bill – Studio</t>
  </si>
  <si>
    <t>HDFC-20250812-37212</t>
  </si>
  <si>
    <t>Customer Receipt Net of TDS – ShemarooMe</t>
  </si>
  <si>
    <t>HDFC-20250812-65180</t>
  </si>
  <si>
    <t>Unidentified NEFT Receipt – Ref 4715</t>
  </si>
  <si>
    <t>HDFC-20250813-32705</t>
  </si>
  <si>
    <t>PF Contribution – Aug 2025</t>
  </si>
  <si>
    <t>HDFC-20250813-82741</t>
  </si>
  <si>
    <t>ESI Contribution – Aug 2025</t>
  </si>
  <si>
    <t>HDFC-20250815-57409</t>
  </si>
  <si>
    <t>HDFC-20250816-60273</t>
  </si>
  <si>
    <t>EMI Receipt – Sun TV Network (EMI 1)</t>
  </si>
  <si>
    <t>HDFC-20250816-95389</t>
  </si>
  <si>
    <t>Unidentified NEFT Receipt – Ref 5202</t>
  </si>
  <si>
    <t>HDFC-20250817-31755</t>
  </si>
  <si>
    <t>Customer Receipt Net of TDS – Amazon miniTV</t>
  </si>
  <si>
    <t>HDFC-20250818-21338</t>
  </si>
  <si>
    <t>Advance Received – Doordarshan OTT</t>
  </si>
  <si>
    <t>HDFC-20250818-72674</t>
  </si>
  <si>
    <t>GST Payment – Aug 2025</t>
  </si>
  <si>
    <t>HDFC-20250818-60256</t>
  </si>
  <si>
    <t>HDFC-20250819-70400</t>
  </si>
  <si>
    <t>HDFC-20250820-66481</t>
  </si>
  <si>
    <t>EMI Receipt – Disney+ Hotstar (EMI 4)</t>
  </si>
  <si>
    <t>HDFC-20250820-24937</t>
  </si>
  <si>
    <t>Penalty Recovery – Zee Entertainment Ltd</t>
  </si>
  <si>
    <t>HDFC-20250820-26899</t>
  </si>
  <si>
    <t>Ad-hoc Customer Receipt – SonyLIV Sports</t>
  </si>
  <si>
    <t>HDFC-20250822-35983</t>
  </si>
  <si>
    <t>Advance Received – SonyLIV Sports</t>
  </si>
  <si>
    <t>HDFC-20250822-55203</t>
  </si>
  <si>
    <t>Overdue Interest Recovered – Sun TV Network</t>
  </si>
  <si>
    <t>HDFC-20250824-70707</t>
  </si>
  <si>
    <t>Customer Receipt Net of TDS – Hungama Play</t>
  </si>
  <si>
    <t>HDFC-20250826-98392</t>
  </si>
  <si>
    <t>Salary Disbursement – Aug 2025</t>
  </si>
  <si>
    <t>HDFC-20250826-96702</t>
  </si>
  <si>
    <t>Ad-hoc Customer Receipt – Hungama Play</t>
  </si>
  <si>
    <t>HDFC-20250827-75747</t>
  </si>
  <si>
    <t>HDFC-20250828-67876</t>
  </si>
  <si>
    <t>Fuel Reimbursement</t>
  </si>
  <si>
    <t>HDFC-20250829-16922</t>
  </si>
  <si>
    <t>FD Interest Credit – HDFC Bank (Aug 2025)</t>
  </si>
  <si>
    <t>HDFC-20250829-54879</t>
  </si>
  <si>
    <t>HDFC-20250829-15976</t>
  </si>
  <si>
    <t>Bank Service Charges – Aug 2025</t>
  </si>
  <si>
    <t>HDFC-20250829-86591</t>
  </si>
  <si>
    <t>GST on Bank Charges – Aug 2025</t>
  </si>
  <si>
    <t>HDFC-20250829-27269</t>
  </si>
  <si>
    <t>Office Rent – Aug 2025</t>
  </si>
  <si>
    <t>HDFC-20250830-97550</t>
  </si>
  <si>
    <t>Catering Contract</t>
  </si>
  <si>
    <t>HDFC-20250831-86767</t>
  </si>
  <si>
    <t>HDFC-20250903-91238</t>
  </si>
  <si>
    <t>Cheque Deposit – MX Player (CHQ756384)</t>
  </si>
  <si>
    <t>HDFC-20250904-10169</t>
  </si>
  <si>
    <t>Cheque Deposit – Voot Digital (CHQ312334)</t>
  </si>
  <si>
    <t>HDFC-20250904-35428</t>
  </si>
  <si>
    <t>Customer Receipt Net of TDS – Disney+ Hotstar</t>
  </si>
  <si>
    <t>HDFC-20250904-43155</t>
  </si>
  <si>
    <t>HDFC-20250905-92797</t>
  </si>
  <si>
    <t>Cheque Return – MX Player Insufficient Funds (CHQ756384)</t>
  </si>
  <si>
    <t>HDFC-20250905-89421</t>
  </si>
  <si>
    <t>Bounce Penalty – MX Player</t>
  </si>
  <si>
    <t>HDFC-20250905-65541</t>
  </si>
  <si>
    <t>Penalty Recovery – Colors TV (Viacom18)</t>
  </si>
  <si>
    <t>HDFC-20250906-63652</t>
  </si>
  <si>
    <t>EMI Receipt – Voot Digital (EMI 1)</t>
  </si>
  <si>
    <t>HDFC-20250906-78432</t>
  </si>
  <si>
    <t>Cheque Return – Voot Digital Insufficient Funds (CHQ312334)</t>
  </si>
  <si>
    <t>HDFC-20250906-50702</t>
  </si>
  <si>
    <t>Bounce Penalty – Voot Digital</t>
  </si>
  <si>
    <t>HDFC-20250906-92812</t>
  </si>
  <si>
    <t>HDFC-20250908-99759</t>
  </si>
  <si>
    <t>EMI Receipt – Colors TV (Viacom18) (EMI 3)</t>
  </si>
  <si>
    <t>HDFC-20250909-67425</t>
  </si>
  <si>
    <t>EMI Receipt – Sun TV Network (EMI 2)</t>
  </si>
  <si>
    <t>HDFC-20250910-19905</t>
  </si>
  <si>
    <t>HDFC-20250912-95637</t>
  </si>
  <si>
    <t>HDFC-20250912-51147</t>
  </si>
  <si>
    <t>HDFC-20250912-98684</t>
  </si>
  <si>
    <t>PF Contribution – Sep 2025</t>
  </si>
  <si>
    <t>HDFC-20250912-94037</t>
  </si>
  <si>
    <t>ESI Contribution – Sep 2025</t>
  </si>
  <si>
    <t>HDFC-20250915-80117</t>
  </si>
  <si>
    <t>Advance Received – Discovery Plus India</t>
  </si>
  <si>
    <t>HDFC-20250915-20965</t>
  </si>
  <si>
    <t>Advance Tax Payment – 2th Installment FY2025-26</t>
  </si>
  <si>
    <t>HDFC-20250915-24622</t>
  </si>
  <si>
    <t>Debit Note Recovery – Sun TV Network</t>
  </si>
  <si>
    <t>HDFC-20250916-40658</t>
  </si>
  <si>
    <t>HDFC-20250916-64255</t>
  </si>
  <si>
    <t>Customer Receipt Net of TDS – ALTBalaji</t>
  </si>
  <si>
    <t>HDFC-20250917-21926</t>
  </si>
  <si>
    <t>GST Payment – Sep 2025</t>
  </si>
  <si>
    <t>HDFC-20250919-48384</t>
  </si>
  <si>
    <t>Unidentified NEFT Receipt – Ref 1818</t>
  </si>
  <si>
    <t>HDFC-20250920-59262</t>
  </si>
  <si>
    <t>Penalty Recovery – Disney+ Hotstar</t>
  </si>
  <si>
    <t>HDFC-20250921-26838</t>
  </si>
  <si>
    <t>HDFC-20250921-74765</t>
  </si>
  <si>
    <t>HDFC-20250922-72534</t>
  </si>
  <si>
    <t>EMI Receipt – Colors TV (Viacom18) (EMI 4)</t>
  </si>
  <si>
    <t>HDFC-20250923-34784</t>
  </si>
  <si>
    <t>Unidentified NEFT Receipt – Ref 6475</t>
  </si>
  <si>
    <t>HDFC-20250923-36039</t>
  </si>
  <si>
    <t>Vehicle Hire</t>
  </si>
  <si>
    <t>HDFC-20250924-26818</t>
  </si>
  <si>
    <t>Hosting Charges</t>
  </si>
  <si>
    <t>HDFC-20250925-47850</t>
  </si>
  <si>
    <t>Salary Disbursement – Sep 2025</t>
  </si>
  <si>
    <t>HDFC-20250926-15638</t>
  </si>
  <si>
    <t>Sweep to Savings – Auto-Transfer #3</t>
  </si>
  <si>
    <t>HDFC-20250928-91928</t>
  </si>
  <si>
    <t>FD Interest Credit – HDFC Bank (Sep 2025)</t>
  </si>
  <si>
    <t>HDFC-20250928-67165</t>
  </si>
  <si>
    <t>HDFC-20250928-12671</t>
  </si>
  <si>
    <t>Bank Service Charges – Sep 2025</t>
  </si>
  <si>
    <t>HDFC-20250928-49405</t>
  </si>
  <si>
    <t>GST on Bank Charges – Sep 2025</t>
  </si>
  <si>
    <t>HDFC-20250928-33559</t>
  </si>
  <si>
    <t>Office Rent – Sep 2025</t>
  </si>
  <si>
    <t>HDFC-20251004-17316</t>
  </si>
  <si>
    <t>HDFC-20251005-19250</t>
  </si>
  <si>
    <t>Refund Issued – NDTV Profit</t>
  </si>
  <si>
    <t>HDFC-20251006-10474</t>
  </si>
  <si>
    <t>Cheque Deposit – Disney+ Hotstar (CHQ519326)</t>
  </si>
  <si>
    <t>HDFC-20251007-94354</t>
  </si>
  <si>
    <t>TDS Payment to Govt – Q2 FY2025-26</t>
  </si>
  <si>
    <t>HDFC-20251008-48718</t>
  </si>
  <si>
    <t>Cheque Deposit – Sun TV Network (CHQ472547)</t>
  </si>
  <si>
    <t>HDFC-20251008-93894</t>
  </si>
  <si>
    <t>Cheque Deposit – Sony LIV India (CHQ279997)</t>
  </si>
  <si>
    <t>HDFC-20251008-24723</t>
  </si>
  <si>
    <t>Cheque Return – Disney+ Hotstar Insufficient Funds (CHQ519326)</t>
  </si>
  <si>
    <t>HDFC-20251008-75753</t>
  </si>
  <si>
    <t>Bounce Penalty – Disney+ Hotstar</t>
  </si>
  <si>
    <t>HDFC-20251008-94086</t>
  </si>
  <si>
    <t>Ad-hoc Customer Receipt – Colors TV (Viacom18)</t>
  </si>
  <si>
    <t>HDFC-20251010-35333</t>
  </si>
  <si>
    <t>Cheque Return – Sun TV Network Insufficient Funds (CHQ472547)</t>
  </si>
  <si>
    <t>HDFC-20251010-97164</t>
  </si>
  <si>
    <t>Bounce Penalty – Sun TV Network</t>
  </si>
  <si>
    <t>HDFC-20251010-44207</t>
  </si>
  <si>
    <t>Cheque Return – Sony LIV India Insufficient Funds (CHQ279997)</t>
  </si>
  <si>
    <t>HDFC-20251010-96136</t>
  </si>
  <si>
    <t>Bounce Penalty – Sony LIV India</t>
  </si>
  <si>
    <t>HDFC-20251010-31936</t>
  </si>
  <si>
    <t>Cheque Deposit – ALTBalaji (CHQ883857)</t>
  </si>
  <si>
    <t>HDFC-20251011-48293</t>
  </si>
  <si>
    <t>Advance Received – Colors TV (Viacom18)</t>
  </si>
  <si>
    <t>HDFC-20251011-23774</t>
  </si>
  <si>
    <t>Ad-hoc Customer Receipt – Disney+ Hotstar</t>
  </si>
  <si>
    <t>HDFC-20251012-22145</t>
  </si>
  <si>
    <t>HDFC-20251012-76992</t>
  </si>
  <si>
    <t>Cheque Return – ALTBalaji Insufficient Funds (CHQ883857)</t>
  </si>
  <si>
    <t>HDFC-20251012-68211</t>
  </si>
  <si>
    <t>Bounce Penalty – ALTBalaji</t>
  </si>
  <si>
    <t>HDFC-20251012-83037</t>
  </si>
  <si>
    <t>HDFC-20251013-41912</t>
  </si>
  <si>
    <t>Overdue Interest Recovered – Colors TV (Viacom18)</t>
  </si>
  <si>
    <t>HDFC-20251016-54139</t>
  </si>
  <si>
    <t>HDFC-20251016-83269</t>
  </si>
  <si>
    <t>Advance Received – ShemarooMe</t>
  </si>
  <si>
    <t>HDFC-20251016-67127</t>
  </si>
  <si>
    <t>Penalty Recovery – Sun TV Network</t>
  </si>
  <si>
    <t>HDFC-20251016-96203</t>
  </si>
  <si>
    <t>FD Maturity Receipt – HDFC (FD-2)</t>
  </si>
  <si>
    <t>HDFC-20251017-75793</t>
  </si>
  <si>
    <t>GST Payment – Oct 2025</t>
  </si>
  <si>
    <t>HDFC-20251017-87781</t>
  </si>
  <si>
    <t>Ad-hoc Customer Receipt – MX Player</t>
  </si>
  <si>
    <t>HDFC-20251018-34073</t>
  </si>
  <si>
    <t>Customer Receipt Net of TDS – Discovery Plus India</t>
  </si>
  <si>
    <t>HDFC-20251019-99693</t>
  </si>
  <si>
    <t>HDFC-20251022-98898</t>
  </si>
  <si>
    <t>EMI Receipt – ALTBalaji (EMI 2)</t>
  </si>
  <si>
    <t>HDFC-20251022-64809</t>
  </si>
  <si>
    <t>Customer Receipt Net of TDS – Eros Now</t>
  </si>
  <si>
    <t>HDFC-20251025-64932</t>
  </si>
  <si>
    <t>Salary Disbursement – Oct 2025</t>
  </si>
  <si>
    <t>HDFC-20251027-64272</t>
  </si>
  <si>
    <t>HDFC-20251027-40174</t>
  </si>
  <si>
    <t>HDFC-20251027-32577</t>
  </si>
  <si>
    <t>HDFC-20251028-34640</t>
  </si>
  <si>
    <t>FD Interest Credit – HDFC Bank (Oct 2025)</t>
  </si>
  <si>
    <t>HDFC-20251028-50300</t>
  </si>
  <si>
    <t>HDFC-20251028-27399</t>
  </si>
  <si>
    <t>Bank Service Charges – Oct 2025</t>
  </si>
  <si>
    <t>HDFC-20251028-11479</t>
  </si>
  <si>
    <t>GST on Bank Charges – Oct 2025</t>
  </si>
  <si>
    <t>HDFC-20251028-92478</t>
  </si>
  <si>
    <t>Office Rent – Oct 2025</t>
  </si>
  <si>
    <t>HDFC-20251029-36224</t>
  </si>
  <si>
    <t>HDFC-20251029-45310</t>
  </si>
  <si>
    <t>HDFC-20251030-42833</t>
  </si>
  <si>
    <t>Unidentified NEFT Receipt – Ref 2187</t>
  </si>
  <si>
    <t>HDFC-20251101-22646</t>
  </si>
  <si>
    <t>Customer Payment – ALTBalaji</t>
  </si>
  <si>
    <t>HDFC-20251103-36251</t>
  </si>
  <si>
    <t>Cheque Deposit – JioCinema (CHQ401469)</t>
  </si>
  <si>
    <t>HDFC-20251104-72417</t>
  </si>
  <si>
    <t>Audit Fees</t>
  </si>
  <si>
    <t>HDFC-20251105-12702</t>
  </si>
  <si>
    <t>Cheque Return – JioCinema Insufficient Funds (CHQ401469)</t>
  </si>
  <si>
    <t>HDFC-20251105-23782</t>
  </si>
  <si>
    <t>Bounce Penalty – JioCinema</t>
  </si>
  <si>
    <t>HDFC-20251105-49284</t>
  </si>
  <si>
    <t>HDFC-20251106-65760</t>
  </si>
  <si>
    <t>HDFC-20251110-76801</t>
  </si>
  <si>
    <t>Office Supplies</t>
  </si>
  <si>
    <t>HDFC-20251110-18952</t>
  </si>
  <si>
    <t>Marketing Fees</t>
  </si>
  <si>
    <t>HDFC-20251112-43582</t>
  </si>
  <si>
    <t>EMI Receipt – Sony LIV India (EMI 2)</t>
  </si>
  <si>
    <t>HDFC-20251112-44448</t>
  </si>
  <si>
    <t>Overdue Interest Recovered – Zee Entertainment Ltd</t>
  </si>
  <si>
    <t>HDFC-20251113-83297</t>
  </si>
  <si>
    <t>Penalty Recovery – Voot Digital</t>
  </si>
  <si>
    <t>HDFC-20251116-40490</t>
  </si>
  <si>
    <t>GST Payment – Nov 2025</t>
  </si>
  <si>
    <t>HDFC-20251119-12209</t>
  </si>
  <si>
    <t>Printing &amp; Stationery</t>
  </si>
  <si>
    <t>HDFC-20251122-35489</t>
  </si>
  <si>
    <t>EMI Receipt – ALTBalaji (EMI 3)</t>
  </si>
  <si>
    <t>HDFC-20251124-32826</t>
  </si>
  <si>
    <t>Salary Disbursement – Nov 2025</t>
  </si>
  <si>
    <t>HDFC-20251127-78573</t>
  </si>
  <si>
    <t>Customer Receipt Net of TDS – NDTV Profit</t>
  </si>
  <si>
    <t>HDFC-20251127-33537</t>
  </si>
  <si>
    <t>FD Interest Credit – HDFC Bank (Nov 2025)</t>
  </si>
  <si>
    <t>HDFC-20251127-24566</t>
  </si>
  <si>
    <t>HDFC-20251127-82876</t>
  </si>
  <si>
    <t>Bank Service Charges – Nov 2025</t>
  </si>
  <si>
    <t>HDFC-20251127-48762</t>
  </si>
  <si>
    <t>GST on Bank Charges – Nov 2025</t>
  </si>
  <si>
    <t>HDFC-20251127-49383</t>
  </si>
  <si>
    <t>Office Rent – Nov 2025</t>
  </si>
  <si>
    <t>HDFC-20251127-12321</t>
  </si>
  <si>
    <t>FD Maturity Receipt – HDFC (FD-3)</t>
  </si>
  <si>
    <t>HDFC-20251130-66195</t>
  </si>
  <si>
    <t>Ad-hoc Customer Receipt – Sun TV Network</t>
  </si>
  <si>
    <t>HDFC-20251202-90811</t>
  </si>
  <si>
    <t>Sweep to Savings – Auto-Transfer #2</t>
  </si>
  <si>
    <t>HDFC-20251205-97164</t>
  </si>
  <si>
    <t>Customer Receipt Net of TDS – EPIC ON</t>
  </si>
  <si>
    <t>HDFC-20251207-85077</t>
  </si>
  <si>
    <t>Customer Receipt Net of TDS – Lionsgate Play</t>
  </si>
  <si>
    <t>HDFC-20251209-52609</t>
  </si>
  <si>
    <t>Sweep Return – #3</t>
  </si>
  <si>
    <t>HDFC-20251212-65265</t>
  </si>
  <si>
    <t>HDFC-20251215-10628</t>
  </si>
  <si>
    <t>Advance Tax Payment – 3th Installment FY2025-26</t>
  </si>
  <si>
    <t>HDFC-20251215-68065</t>
  </si>
  <si>
    <t>Sweep to Savings – Auto-Transfer #1</t>
  </si>
  <si>
    <t>HDFC-20251216-73522</t>
  </si>
  <si>
    <t>GST Payment – Dec 2025</t>
  </si>
  <si>
    <t>HDFC-20251224-17152</t>
  </si>
  <si>
    <t>Salary Disbursement – Dec 2025</t>
  </si>
  <si>
    <t>HDFC-20251227-29210</t>
  </si>
  <si>
    <t>FD Interest Credit – HDFC Bank (Dec 2025)</t>
  </si>
  <si>
    <t>HDFC-20251227-75084</t>
  </si>
  <si>
    <t>HDFC-20251227-26201</t>
  </si>
  <si>
    <t>Bank Service Charges – Dec 2025</t>
  </si>
  <si>
    <t>HDFC-20251227-74545</t>
  </si>
  <si>
    <t>GST on Bank Charges – Dec 2025</t>
  </si>
  <si>
    <t>HDFC-20251227-18030</t>
  </si>
  <si>
    <t>Office Rent – Dec 2025</t>
  </si>
  <si>
    <t>HDFC-20251230-12692</t>
  </si>
  <si>
    <t>Security Fees</t>
  </si>
  <si>
    <t>HDFC-20251230-98291</t>
  </si>
  <si>
    <t>Event Mgmt</t>
  </si>
  <si>
    <t>HDFC-20251231-40767</t>
  </si>
  <si>
    <t>Unidentified NEFT Receipt – Ref 9900</t>
  </si>
  <si>
    <t>HDFC-20260103-41401</t>
  </si>
  <si>
    <t>Customer Receipt Net of TDS – Doordarshan OTT</t>
  </si>
  <si>
    <t>HDFC-20260103-46091</t>
  </si>
  <si>
    <t>HDFC-20260104-59737</t>
  </si>
  <si>
    <t>Ad-hoc Customer Receipt – Sony LIV India</t>
  </si>
  <si>
    <t>HDFC-20260106-91778</t>
  </si>
  <si>
    <t>HDFC-20260107-75926</t>
  </si>
  <si>
    <t>TDS Payment to Govt – Q3 FY2025-26</t>
  </si>
  <si>
    <t>HDFC-20260107-24952</t>
  </si>
  <si>
    <t>Excess Payment Reversed – ALTBalaji</t>
  </si>
  <si>
    <t>HDFC-20260107-17307</t>
  </si>
  <si>
    <t>HDFC-20260109-26682</t>
  </si>
  <si>
    <t>EMI Receipt – Disney+ Hotstar (EMI 1)</t>
  </si>
  <si>
    <t>HDFC-20260109-40349</t>
  </si>
  <si>
    <t>Sweep to Savings – Auto-Transfer #4</t>
  </si>
  <si>
    <t>HDFC-20260110-26561</t>
  </si>
  <si>
    <t>HDFC-20260111-77881</t>
  </si>
  <si>
    <t>Housekeeping</t>
  </si>
  <si>
    <t>HDFC-20260111-57569</t>
  </si>
  <si>
    <t>HVAC Maintenance</t>
  </si>
  <si>
    <t>HDFC-20260115-23167</t>
  </si>
  <si>
    <t>GST Payment – Jan 2026</t>
  </si>
  <si>
    <t>HDFC-20260116-65732</t>
  </si>
  <si>
    <t>HDFC-20260123-41688</t>
  </si>
  <si>
    <t>Salary Disbursement – Jan 2026</t>
  </si>
  <si>
    <t>HDFC-20260123-38603</t>
  </si>
  <si>
    <t>Sweep Return – #2</t>
  </si>
  <si>
    <t>HDFC-20260126-94266</t>
  </si>
  <si>
    <t>FD Interest Credit – HDFC Bank (Jan 2026)</t>
  </si>
  <si>
    <t>HDFC-20260126-78320</t>
  </si>
  <si>
    <t>HDFC-20260126-19476</t>
  </si>
  <si>
    <t>Bank Service Charges – Jan 2026</t>
  </si>
  <si>
    <t>HDFC-20260126-15281</t>
  </si>
  <si>
    <t>GST on Bank Charges – Jan 2026</t>
  </si>
  <si>
    <t>HDFC-20260126-43370</t>
  </si>
  <si>
    <t>Office Rent – Jan 2026</t>
  </si>
  <si>
    <t>HDFC-20260204-47920</t>
  </si>
  <si>
    <t>Ad-hoc Customer Receipt – Eros Now</t>
  </si>
  <si>
    <t>HDFC-20260214-90135</t>
  </si>
  <si>
    <t>GST Payment – Feb 2026</t>
  </si>
  <si>
    <t>HDFC-20260216-89280</t>
  </si>
  <si>
    <t>Legal Fees</t>
  </si>
  <si>
    <t>HDFC-20260220-15276</t>
  </si>
  <si>
    <t>Music License</t>
  </si>
  <si>
    <t>HDFC-20260222-31474</t>
  </si>
  <si>
    <t>Salary Disbursement – Feb 2026</t>
  </si>
  <si>
    <t>HDFC-20260224-42782</t>
  </si>
  <si>
    <t>Sweep Return – #1</t>
  </si>
  <si>
    <t>HDFC-20260225-11643</t>
  </si>
  <si>
    <t>FD Interest Credit – HDFC Bank (Feb 2026)</t>
  </si>
  <si>
    <t>HDFC-20260225-40289</t>
  </si>
  <si>
    <t>HDFC-20260225-31489</t>
  </si>
  <si>
    <t>Bank Service Charges – Feb 2026</t>
  </si>
  <si>
    <t>HDFC-20260225-89492</t>
  </si>
  <si>
    <t>GST on Bank Charges – Feb 2026</t>
  </si>
  <si>
    <t>HDFC-20260225-34017</t>
  </si>
  <si>
    <t>Office Rent – Feb 2026</t>
  </si>
  <si>
    <t>HDFC-20260315-68490</t>
  </si>
  <si>
    <t>TDS Payment to Govt – Q4 FY2025-26</t>
  </si>
  <si>
    <t>HDFC-20260315-35572</t>
  </si>
  <si>
    <t>Advance Tax Payment – 4th Installment FY2025-26</t>
  </si>
  <si>
    <t>HDFC-20260316-32751</t>
  </si>
  <si>
    <t>GST Payment – Mar 2026</t>
  </si>
  <si>
    <t>HDFC-20260324-66978</t>
  </si>
  <si>
    <t>Salary Disbursement – Mar 2026</t>
  </si>
  <si>
    <t>HDFC-20260327-85989</t>
  </si>
  <si>
    <t>Office Rent – Mar 2026</t>
  </si>
  <si>
    <t>HDFC-20260403-37354</t>
  </si>
  <si>
    <t>Sweep Return – #4</t>
  </si>
  <si>
    <t>HDFC-20260415-72313</t>
  </si>
  <si>
    <t>GST Payment – Apr 2026</t>
  </si>
  <si>
    <t>Sl. No.</t>
  </si>
  <si>
    <t>Txn Date</t>
  </si>
  <si>
    <t>Mode</t>
  </si>
  <si>
    <t>Dr/Cr</t>
  </si>
  <si>
    <t>Balance (INR)</t>
  </si>
  <si>
    <t>OPENING BALANCE – 01-APR-2025</t>
  </si>
  <si>
    <t>INT</t>
  </si>
  <si>
    <t>CR</t>
  </si>
  <si>
    <t>DR-CHG</t>
  </si>
  <si>
    <t>DR</t>
  </si>
  <si>
    <t>RTGS</t>
  </si>
  <si>
    <t>NEFT</t>
  </si>
  <si>
    <t>POS-GATEWAY</t>
  </si>
  <si>
    <t>REV</t>
  </si>
  <si>
    <t>IMPS</t>
  </si>
  <si>
    <t>CHQ</t>
  </si>
  <si>
    <t>CHQ REV</t>
  </si>
  <si>
    <t>INT-SWEEP</t>
  </si>
  <si>
    <t>CLOSING BALANCE – 31-MAR-2026</t>
  </si>
  <si>
    <t>Linked Invoice</t>
  </si>
  <si>
    <t>N/A – Bank Interest</t>
  </si>
  <si>
    <t>N/A – Bank Charges</t>
  </si>
  <si>
    <t>SD-2526-0259</t>
  </si>
  <si>
    <t>N/A – Investment</t>
  </si>
  <si>
    <t>INV-2526-0036</t>
  </si>
  <si>
    <t>INV-2526-0184</t>
  </si>
  <si>
    <t>INV-2526-0210</t>
  </si>
  <si>
    <t>N/A – Vendor</t>
  </si>
  <si>
    <t>INV-2526-0191</t>
  </si>
  <si>
    <t>SD-2526-0258</t>
  </si>
  <si>
    <t>INV-2526-0028</t>
  </si>
  <si>
    <t>INV-2526-0186</t>
  </si>
  <si>
    <t>INV-2526-0181</t>
  </si>
  <si>
    <t>INV-MISC-015</t>
  </si>
  <si>
    <t>INV-2526-0196</t>
  </si>
  <si>
    <t>N/A – Statutory</t>
  </si>
  <si>
    <t>INV-2526-0031</t>
  </si>
  <si>
    <t>INV-2526-0206</t>
  </si>
  <si>
    <t>INV-2526-0162</t>
  </si>
  <si>
    <t>INV-2526-0019</t>
  </si>
  <si>
    <t>N/A – Payroll</t>
  </si>
  <si>
    <t>SD-2526-0260</t>
  </si>
  <si>
    <t>INV-2526-0062</t>
  </si>
  <si>
    <t>INV-2526-0190</t>
  </si>
  <si>
    <t>INV-2526-0198</t>
  </si>
  <si>
    <t>INV-2526-0207</t>
  </si>
  <si>
    <t>CN-2526-0019</t>
  </si>
  <si>
    <t>INV-2526-0022</t>
  </si>
  <si>
    <t>SD-2526-0262</t>
  </si>
  <si>
    <t>CN-2526-0014</t>
  </si>
  <si>
    <t>INV-MISC-007</t>
  </si>
  <si>
    <t>INV-2526-0208</t>
  </si>
  <si>
    <t>INV-2526-0051</t>
  </si>
  <si>
    <t>INV-2526-0195</t>
  </si>
  <si>
    <t>INV-2526-0183</t>
  </si>
  <si>
    <t>INV-2526-0199</t>
  </si>
  <si>
    <t>SD-2526-0261</t>
  </si>
  <si>
    <t>INV-2526-0204</t>
  </si>
  <si>
    <t>INV-2526-0105</t>
  </si>
  <si>
    <t>INV-2526-0020</t>
  </si>
  <si>
    <t>INV-2526-0012</t>
  </si>
  <si>
    <t>SD-2526-0256</t>
  </si>
  <si>
    <t>INV-2526-0013</t>
  </si>
  <si>
    <t>INV-2526-0034</t>
  </si>
  <si>
    <t>INV-2526-0068</t>
  </si>
  <si>
    <t>INV-2526-0046</t>
  </si>
  <si>
    <t>PEN-2526-0280</t>
  </si>
  <si>
    <t>INV-MISC-008</t>
  </si>
  <si>
    <t>INV-2526-0099</t>
  </si>
  <si>
    <t>INV-2526-0037</t>
  </si>
  <si>
    <t>INV-2526-0166</t>
  </si>
  <si>
    <t>N/A – Expense</t>
  </si>
  <si>
    <t>INV-2526-0193</t>
  </si>
  <si>
    <t>INV-2526-0197</t>
  </si>
  <si>
    <t>DN-2526-0231</t>
  </si>
  <si>
    <t>UNMATCHED</t>
  </si>
  <si>
    <t>INV-2526-0049</t>
  </si>
  <si>
    <t>DN-2526-0234</t>
  </si>
  <si>
    <t>SD-2526-0257</t>
  </si>
  <si>
    <t>INV-2526-0054</t>
  </si>
  <si>
    <t>INV-MISC-013</t>
  </si>
  <si>
    <t>INV-2526-0200</t>
  </si>
  <si>
    <t>INV-2526-0170</t>
  </si>
  <si>
    <t>INV-2526-0155</t>
  </si>
  <si>
    <t>INV-2526-0004</t>
  </si>
  <si>
    <t>INV-2526-0156</t>
  </si>
  <si>
    <t>INV-2526-0189</t>
  </si>
  <si>
    <t>INT-2526-0250</t>
  </si>
  <si>
    <t>SD-2526-0263</t>
  </si>
  <si>
    <t>INV-2526-0192</t>
  </si>
  <si>
    <t>CN-2526-0005</t>
  </si>
  <si>
    <t>INT-2526-0248</t>
  </si>
  <si>
    <t>INV-MISC-001</t>
  </si>
  <si>
    <t>INV-2526-0135</t>
  </si>
  <si>
    <t>INV-2526-0178</t>
  </si>
  <si>
    <t>DN-2526-0233</t>
  </si>
  <si>
    <t>INV-2526-0201</t>
  </si>
  <si>
    <t>INV-2526-0050</t>
  </si>
  <si>
    <t>INV-2526-0029</t>
  </si>
  <si>
    <t>INV-2526-0002</t>
  </si>
  <si>
    <t>INV-2526-0010</t>
  </si>
  <si>
    <t>INV-2526-0172</t>
  </si>
  <si>
    <t>INV-2526-0075</t>
  </si>
  <si>
    <t>INV-2526-0058</t>
  </si>
  <si>
    <t>INV-MISC-006</t>
  </si>
  <si>
    <t>INV-2526-0021</t>
  </si>
  <si>
    <t>INV-2526-0038</t>
  </si>
  <si>
    <t>INV-2526-0018</t>
  </si>
  <si>
    <t>INV-2526-0009</t>
  </si>
  <si>
    <t>INV-2526-0039</t>
  </si>
  <si>
    <t>DN-2526-0235</t>
  </si>
  <si>
    <t>CN-2526-0017</t>
  </si>
  <si>
    <t>INV-2526-0008</t>
  </si>
  <si>
    <t>INV-2526-0025</t>
  </si>
  <si>
    <t>INV-2526-0141</t>
  </si>
  <si>
    <t>INV-2526-0142</t>
  </si>
  <si>
    <t>INV-2526-0081</t>
  </si>
  <si>
    <t>INV-MISC-010</t>
  </si>
  <si>
    <t>INV-2526-0147</t>
  </si>
  <si>
    <t>INV-2526-0148</t>
  </si>
  <si>
    <t>INV-2526-0016</t>
  </si>
  <si>
    <t>INV-2526-0173</t>
  </si>
  <si>
    <t>INV-2526-0093</t>
  </si>
  <si>
    <t>INV-2526-0188</t>
  </si>
  <si>
    <t>INV-2526-0209</t>
  </si>
  <si>
    <t>INV-2526-0168</t>
  </si>
  <si>
    <t>INV-2526-0120</t>
  </si>
  <si>
    <t>PEN-2526-0278</t>
  </si>
  <si>
    <t>INV-MISC-012</t>
  </si>
  <si>
    <t>INV-2526-0202</t>
  </si>
  <si>
    <t>INT-2526-0247</t>
  </si>
  <si>
    <t>INV-2526-0174</t>
  </si>
  <si>
    <t>INV-MISC-014</t>
  </si>
  <si>
    <t>INV-2526-0060</t>
  </si>
  <si>
    <t>INV-2526-0157</t>
  </si>
  <si>
    <t>INV-2526-0151</t>
  </si>
  <si>
    <t>INV-2526-0165</t>
  </si>
  <si>
    <t>INV-2526-0065</t>
  </si>
  <si>
    <t>INV-2526-0158</t>
  </si>
  <si>
    <t>PEN-2526-0281</t>
  </si>
  <si>
    <t>INV-2526-0129</t>
  </si>
  <si>
    <t>INV-2526-0152</t>
  </si>
  <si>
    <t>INV-2526-0107</t>
  </si>
  <si>
    <t>INV-2526-0094</t>
  </si>
  <si>
    <t>INV-2526-0161</t>
  </si>
  <si>
    <t>INV-2526-0077</t>
  </si>
  <si>
    <t>INV-2526-0078</t>
  </si>
  <si>
    <t>INV-2526-0205</t>
  </si>
  <si>
    <t>DN-2526-0232</t>
  </si>
  <si>
    <t>INV-2526-0053</t>
  </si>
  <si>
    <t>INV-2526-0187</t>
  </si>
  <si>
    <t>PEN-2526-0282</t>
  </si>
  <si>
    <t>INV-2526-0169</t>
  </si>
  <si>
    <t>INV-2526-0182</t>
  </si>
  <si>
    <t>INV-2526-0108</t>
  </si>
  <si>
    <t>N/A – Internal</t>
  </si>
  <si>
    <t>INV-2526-0041</t>
  </si>
  <si>
    <t>INV-2526-0149</t>
  </si>
  <si>
    <t>INV-2526-0143</t>
  </si>
  <si>
    <t>INV-2526-0145</t>
  </si>
  <si>
    <t>INV-2526-0150</t>
  </si>
  <si>
    <t>INV-MISC-004</t>
  </si>
  <si>
    <t>INV-2526-0144</t>
  </si>
  <si>
    <t>INV-2526-0146</t>
  </si>
  <si>
    <t>INV-2526-0153</t>
  </si>
  <si>
    <t>INV-2526-0194</t>
  </si>
  <si>
    <t>INV-MISC-005</t>
  </si>
  <si>
    <t>INV-2526-0074</t>
  </si>
  <si>
    <t>INV-2526-0154</t>
  </si>
  <si>
    <t>INV-2526-0164</t>
  </si>
  <si>
    <t>INT-2526-0249</t>
  </si>
  <si>
    <t>INV-2526-0203</t>
  </si>
  <si>
    <t>PEN-2526-0279</t>
  </si>
  <si>
    <t>INV-MISC-009</t>
  </si>
  <si>
    <t>INV-2526-0175</t>
  </si>
  <si>
    <t>INV-2526-0005</t>
  </si>
  <si>
    <t>INV-2526-0136</t>
  </si>
  <si>
    <t>INV-2526-0171</t>
  </si>
  <si>
    <t>INV-2526-0073</t>
  </si>
  <si>
    <t>INV-2526-0076</t>
  </si>
  <si>
    <t>INV-2526-0167</t>
  </si>
  <si>
    <t>INV-2526-0001</t>
  </si>
  <si>
    <t>INV-2526-0014</t>
  </si>
  <si>
    <t>INV-2526-0047</t>
  </si>
  <si>
    <t>INV-2526-0159</t>
  </si>
  <si>
    <t>INV-2526-0160</t>
  </si>
  <si>
    <t>INV-2526-0163</t>
  </si>
  <si>
    <t>INV-2526-0033</t>
  </si>
  <si>
    <t>INV-2526-0100</t>
  </si>
  <si>
    <t>INT-2526-0246</t>
  </si>
  <si>
    <t>PEN-2526-0283</t>
  </si>
  <si>
    <t>INV-2526-0137</t>
  </si>
  <si>
    <t>INV-2526-0180</t>
  </si>
  <si>
    <t>INV-MISC-002</t>
  </si>
  <si>
    <t>INV-2526-0177</t>
  </si>
  <si>
    <t>INV-2526-0176</t>
  </si>
  <si>
    <t>INV-2526-0007</t>
  </si>
  <si>
    <t>INV-2526-0179</t>
  </si>
  <si>
    <t>INV-2526-0185</t>
  </si>
  <si>
    <t>INV-MISC-003</t>
  </si>
  <si>
    <t>INV-2526-0006</t>
  </si>
  <si>
    <t>INV-2526-0117</t>
  </si>
  <si>
    <t>INV-2526-0040</t>
  </si>
  <si>
    <t>INV-2526-0017</t>
  </si>
  <si>
    <t>INV-MISC-011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</si>
</sst>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(#,##0.00\);\-"/>
    <numFmt numFmtId="167" formatCode="dd\-mmm\-yyyy"/>
  </numFmts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9"/>
      <color rgb="FF1F3864"/>
      <name val="Arial"/>
      <charset val="1"/>
    </font>
    <font>
      <b/>
      <sz val="9"/>
      <color rgb="FFC00000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CE6F1"/>
      </patternFill>
    </fill>
    <fill>
      <patternFill patternType="solid">
        <fgColor rgb="FFFFFF99"/>
        <bgColor rgb="FFFCE4D6"/>
      </patternFill>
    </fill>
    <fill>
      <patternFill patternType="solid">
        <fgColor rgb="FFD0E4F7"/>
        <bgColor rgb="FFDCE6F1"/>
      </patternFill>
    </fill>
    <fill>
      <patternFill patternType="solid">
        <fgColor rgb="FFFFD7D7"/>
        <bgColor rgb="FFFCE4D6"/>
      </patternFill>
    </fill>
    <fill>
      <patternFill patternType="solid">
        <fgColor rgb="FFFCE4D6"/>
        <bgColor rgb="FFFFD7D7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66" fontId="3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167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166" fontId="3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/>
    </xf>
    <xf numFmtId="3" fontId="2" fillId="8" borderId="1" xfId="0" applyNumberFormat="1" applyFont="1" applyFill="1" applyBorder="1" applyAlignment="1">
      <alignment horizontal="center"/>
    </xf>
    <xf numFmtId="167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166" fontId="3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4"/>
  <sheetViews>
    <sheetView tabSelected="1" workbookViewId="0">
      <selection activeCell="I15" sqref="I15"/>
    </sheetView>
  </sheetViews>
  <sheetFormatPr defaultRowHeight="15" x14ac:dyDescent="0.25"/>
  <cols>
    <col min="1" max="1" width="6" bestFit="1" customWidth="1"/>
    <col min="2" max="3" width="11.28515625" bestFit="1" customWidth="1"/>
    <col min="4" max="4" width="20.28515625" bestFit="1" customWidth="1"/>
    <col min="5" max="5" width="59.5703125" bestFit="1" customWidth="1"/>
    <col min="6" max="6" width="13.28515625" bestFit="1" customWidth="1"/>
    <col min="7" max="7" width="5.140625" bestFit="1" customWidth="1"/>
    <col min="8" max="9" width="11.28515625" bestFit="1" customWidth="1"/>
    <col min="10" max="10" width="13.42578125" bestFit="1" customWidth="1"/>
    <col min="11" max="11" width="17" bestFit="1" customWidth="1"/>
  </cols>
  <sheetData>
    <row r="1" spans="1:11" ht="24" x14ac:dyDescent="0.25">
      <c r="A1" s="1" t="s">
        <v>648</v>
      </c>
      <c r="B1" s="1" t="s">
        <v>0</v>
      </c>
      <c r="C1" s="1" t="s">
        <v>649</v>
      </c>
      <c r="D1" s="1" t="s">
        <v>1</v>
      </c>
      <c r="E1" s="1" t="s">
        <v>2</v>
      </c>
      <c r="F1" s="1" t="s">
        <v>650</v>
      </c>
      <c r="G1" s="1" t="s">
        <v>651</v>
      </c>
      <c r="H1" s="1" t="s">
        <v>3</v>
      </c>
      <c r="I1" s="1" t="s">
        <v>4</v>
      </c>
      <c r="J1" s="1" t="s">
        <v>652</v>
      </c>
      <c r="K1" s="1" t="s">
        <v>667</v>
      </c>
    </row>
    <row r="2" spans="1:11" x14ac:dyDescent="0.25">
      <c r="A2" s="2" t="s">
        <v>653</v>
      </c>
      <c r="B2" s="2"/>
      <c r="C2" s="2"/>
      <c r="D2" s="2"/>
      <c r="E2" s="2"/>
      <c r="F2" s="2"/>
      <c r="G2" s="2"/>
      <c r="H2" s="2"/>
      <c r="I2" s="2"/>
      <c r="J2" s="3">
        <v>5000000</v>
      </c>
      <c r="K2" s="43"/>
    </row>
    <row r="3" spans="1:11" x14ac:dyDescent="0.25">
      <c r="A3" s="4">
        <v>1</v>
      </c>
      <c r="B3" s="5">
        <v>45748</v>
      </c>
      <c r="C3" s="5">
        <v>45748</v>
      </c>
      <c r="D3" s="6" t="s">
        <v>5</v>
      </c>
      <c r="E3" s="6" t="s">
        <v>6</v>
      </c>
      <c r="F3" s="7" t="s">
        <v>654</v>
      </c>
      <c r="G3" s="8" t="s">
        <v>655</v>
      </c>
      <c r="H3" s="9"/>
      <c r="I3" s="9">
        <v>18500</v>
      </c>
      <c r="J3" s="10">
        <f t="shared" ref="J3:J66" si="0">J2+I3-H3</f>
        <v>5018500</v>
      </c>
      <c r="K3" s="6" t="s">
        <v>668</v>
      </c>
    </row>
    <row r="4" spans="1:11" x14ac:dyDescent="0.25">
      <c r="A4" s="4">
        <v>2</v>
      </c>
      <c r="B4" s="5">
        <v>45748</v>
      </c>
      <c r="C4" s="5">
        <v>45748</v>
      </c>
      <c r="D4" s="6" t="s">
        <v>7</v>
      </c>
      <c r="E4" s="6" t="s">
        <v>6</v>
      </c>
      <c r="F4" s="7" t="s">
        <v>654</v>
      </c>
      <c r="G4" s="8" t="s">
        <v>655</v>
      </c>
      <c r="H4" s="9"/>
      <c r="I4" s="9">
        <v>22000</v>
      </c>
      <c r="J4" s="10">
        <f t="shared" si="0"/>
        <v>5040500</v>
      </c>
      <c r="K4" s="6" t="s">
        <v>668</v>
      </c>
    </row>
    <row r="5" spans="1:11" x14ac:dyDescent="0.25">
      <c r="A5" s="4">
        <v>3</v>
      </c>
      <c r="B5" s="5">
        <v>45748</v>
      </c>
      <c r="C5" s="5">
        <v>45748</v>
      </c>
      <c r="D5" s="6" t="s">
        <v>8</v>
      </c>
      <c r="E5" s="6" t="s">
        <v>9</v>
      </c>
      <c r="F5" s="7" t="s">
        <v>656</v>
      </c>
      <c r="G5" s="11" t="s">
        <v>657</v>
      </c>
      <c r="H5" s="9">
        <v>2400</v>
      </c>
      <c r="I5" s="9"/>
      <c r="J5" s="10">
        <f t="shared" si="0"/>
        <v>5038100</v>
      </c>
      <c r="K5" s="6" t="s">
        <v>669</v>
      </c>
    </row>
    <row r="6" spans="1:11" x14ac:dyDescent="0.25">
      <c r="A6" s="4">
        <v>4</v>
      </c>
      <c r="B6" s="5">
        <v>45748</v>
      </c>
      <c r="C6" s="5">
        <v>45748</v>
      </c>
      <c r="D6" s="6" t="s">
        <v>10</v>
      </c>
      <c r="E6" s="6" t="s">
        <v>11</v>
      </c>
      <c r="F6" s="7" t="s">
        <v>656</v>
      </c>
      <c r="G6" s="11" t="s">
        <v>657</v>
      </c>
      <c r="H6" s="9">
        <v>432</v>
      </c>
      <c r="I6" s="9"/>
      <c r="J6" s="10">
        <f t="shared" si="0"/>
        <v>5037668</v>
      </c>
      <c r="K6" s="6" t="s">
        <v>669</v>
      </c>
    </row>
    <row r="7" spans="1:11" x14ac:dyDescent="0.25">
      <c r="A7" s="4">
        <v>5</v>
      </c>
      <c r="B7" s="5">
        <v>45751</v>
      </c>
      <c r="C7" s="5">
        <v>45751</v>
      </c>
      <c r="D7" s="6" t="s">
        <v>12</v>
      </c>
      <c r="E7" s="6" t="s">
        <v>13</v>
      </c>
      <c r="F7" s="7" t="s">
        <v>658</v>
      </c>
      <c r="G7" s="8" t="s">
        <v>655</v>
      </c>
      <c r="H7" s="9"/>
      <c r="I7" s="9">
        <v>150000</v>
      </c>
      <c r="J7" s="10">
        <f t="shared" si="0"/>
        <v>5187668</v>
      </c>
      <c r="K7" s="6" t="s">
        <v>670</v>
      </c>
    </row>
    <row r="8" spans="1:11" x14ac:dyDescent="0.25">
      <c r="A8" s="4">
        <v>6</v>
      </c>
      <c r="B8" s="5">
        <v>45754</v>
      </c>
      <c r="C8" s="5">
        <v>45754</v>
      </c>
      <c r="D8" s="6" t="s">
        <v>14</v>
      </c>
      <c r="E8" s="6" t="s">
        <v>15</v>
      </c>
      <c r="F8" s="7" t="s">
        <v>658</v>
      </c>
      <c r="G8" s="11" t="s">
        <v>657</v>
      </c>
      <c r="H8" s="9">
        <v>500000</v>
      </c>
      <c r="I8" s="9"/>
      <c r="J8" s="10">
        <f t="shared" si="0"/>
        <v>4687668</v>
      </c>
      <c r="K8" s="6" t="s">
        <v>671</v>
      </c>
    </row>
    <row r="9" spans="1:11" x14ac:dyDescent="0.25">
      <c r="A9" s="4">
        <v>7</v>
      </c>
      <c r="B9" s="5">
        <v>45755</v>
      </c>
      <c r="C9" s="5">
        <v>45755</v>
      </c>
      <c r="D9" s="6" t="s">
        <v>16</v>
      </c>
      <c r="E9" s="6" t="s">
        <v>17</v>
      </c>
      <c r="F9" s="7" t="s">
        <v>659</v>
      </c>
      <c r="G9" s="8" t="s">
        <v>655</v>
      </c>
      <c r="H9" s="9"/>
      <c r="I9" s="9">
        <v>354000</v>
      </c>
      <c r="J9" s="10">
        <f t="shared" si="0"/>
        <v>5041668</v>
      </c>
      <c r="K9" s="6" t="s">
        <v>672</v>
      </c>
    </row>
    <row r="10" spans="1:11" x14ac:dyDescent="0.25">
      <c r="A10" s="12">
        <v>8</v>
      </c>
      <c r="B10" s="13">
        <v>45755</v>
      </c>
      <c r="C10" s="13">
        <v>45755</v>
      </c>
      <c r="D10" s="14" t="s">
        <v>18</v>
      </c>
      <c r="E10" s="14" t="s">
        <v>19</v>
      </c>
      <c r="F10" s="15" t="s">
        <v>659</v>
      </c>
      <c r="G10" s="16" t="s">
        <v>655</v>
      </c>
      <c r="H10" s="17"/>
      <c r="I10" s="17">
        <v>648000</v>
      </c>
      <c r="J10" s="18">
        <f t="shared" si="0"/>
        <v>5689668</v>
      </c>
      <c r="K10" s="14" t="s">
        <v>673</v>
      </c>
    </row>
    <row r="11" spans="1:11" x14ac:dyDescent="0.25">
      <c r="A11" s="4">
        <v>9</v>
      </c>
      <c r="B11" s="5">
        <v>45756</v>
      </c>
      <c r="C11" s="5">
        <v>45756</v>
      </c>
      <c r="D11" s="6" t="s">
        <v>20</v>
      </c>
      <c r="E11" s="6" t="s">
        <v>21</v>
      </c>
      <c r="F11" s="7" t="s">
        <v>658</v>
      </c>
      <c r="G11" s="8" t="s">
        <v>655</v>
      </c>
      <c r="H11" s="9"/>
      <c r="I11" s="9">
        <v>35400</v>
      </c>
      <c r="J11" s="10">
        <f t="shared" si="0"/>
        <v>5725068</v>
      </c>
      <c r="K11" s="6" t="s">
        <v>674</v>
      </c>
    </row>
    <row r="12" spans="1:11" x14ac:dyDescent="0.25">
      <c r="A12" s="4">
        <v>10</v>
      </c>
      <c r="B12" s="5">
        <v>45756</v>
      </c>
      <c r="C12" s="5">
        <v>45756</v>
      </c>
      <c r="D12" s="6" t="s">
        <v>22</v>
      </c>
      <c r="E12" s="6" t="s">
        <v>23</v>
      </c>
      <c r="F12" s="7" t="s">
        <v>659</v>
      </c>
      <c r="G12" s="11" t="s">
        <v>657</v>
      </c>
      <c r="H12" s="9">
        <v>30000</v>
      </c>
      <c r="I12" s="9"/>
      <c r="J12" s="10">
        <f t="shared" si="0"/>
        <v>5695068</v>
      </c>
      <c r="K12" s="6" t="s">
        <v>675</v>
      </c>
    </row>
    <row r="13" spans="1:11" x14ac:dyDescent="0.25">
      <c r="A13" s="4">
        <v>11</v>
      </c>
      <c r="B13" s="5">
        <v>45757</v>
      </c>
      <c r="C13" s="5">
        <v>45757</v>
      </c>
      <c r="D13" s="6" t="s">
        <v>24</v>
      </c>
      <c r="E13" s="6" t="s">
        <v>25</v>
      </c>
      <c r="F13" s="7" t="s">
        <v>658</v>
      </c>
      <c r="G13" s="8" t="s">
        <v>655</v>
      </c>
      <c r="H13" s="9"/>
      <c r="I13" s="9">
        <v>35400</v>
      </c>
      <c r="J13" s="10">
        <f t="shared" si="0"/>
        <v>5730468</v>
      </c>
      <c r="K13" s="6" t="s">
        <v>676</v>
      </c>
    </row>
    <row r="14" spans="1:11" x14ac:dyDescent="0.25">
      <c r="A14" s="4">
        <v>12</v>
      </c>
      <c r="B14" s="5">
        <v>45757</v>
      </c>
      <c r="C14" s="5">
        <v>45757</v>
      </c>
      <c r="D14" s="6" t="s">
        <v>26</v>
      </c>
      <c r="E14" s="6" t="s">
        <v>27</v>
      </c>
      <c r="F14" s="7" t="s">
        <v>658</v>
      </c>
      <c r="G14" s="8" t="s">
        <v>655</v>
      </c>
      <c r="H14" s="9"/>
      <c r="I14" s="9">
        <v>100000</v>
      </c>
      <c r="J14" s="10">
        <f t="shared" si="0"/>
        <v>5830468</v>
      </c>
      <c r="K14" s="6" t="s">
        <v>677</v>
      </c>
    </row>
    <row r="15" spans="1:11" x14ac:dyDescent="0.25">
      <c r="A15" s="19">
        <v>13</v>
      </c>
      <c r="B15" s="20">
        <v>45758</v>
      </c>
      <c r="C15" s="20">
        <v>45758</v>
      </c>
      <c r="D15" s="21" t="s">
        <v>28</v>
      </c>
      <c r="E15" s="21" t="s">
        <v>29</v>
      </c>
      <c r="F15" s="22" t="s">
        <v>660</v>
      </c>
      <c r="G15" s="23" t="s">
        <v>655</v>
      </c>
      <c r="H15" s="24"/>
      <c r="I15" s="24">
        <v>15000</v>
      </c>
      <c r="J15" s="25">
        <f t="shared" si="0"/>
        <v>5845468</v>
      </c>
      <c r="K15" s="21" t="s">
        <v>678</v>
      </c>
    </row>
    <row r="16" spans="1:11" x14ac:dyDescent="0.25">
      <c r="A16" s="12">
        <v>14</v>
      </c>
      <c r="B16" s="13">
        <v>45759</v>
      </c>
      <c r="C16" s="13">
        <v>45759</v>
      </c>
      <c r="D16" s="14" t="s">
        <v>30</v>
      </c>
      <c r="E16" s="14" t="s">
        <v>31</v>
      </c>
      <c r="F16" s="15" t="s">
        <v>659</v>
      </c>
      <c r="G16" s="16" t="s">
        <v>655</v>
      </c>
      <c r="H16" s="17"/>
      <c r="I16" s="17">
        <v>432000</v>
      </c>
      <c r="J16" s="18">
        <f t="shared" si="0"/>
        <v>6277468</v>
      </c>
      <c r="K16" s="14" t="s">
        <v>679</v>
      </c>
    </row>
    <row r="17" spans="1:11" x14ac:dyDescent="0.25">
      <c r="A17" s="12">
        <v>15</v>
      </c>
      <c r="B17" s="13">
        <v>45760</v>
      </c>
      <c r="C17" s="13">
        <v>45760</v>
      </c>
      <c r="D17" s="14" t="s">
        <v>32</v>
      </c>
      <c r="E17" s="14" t="s">
        <v>33</v>
      </c>
      <c r="F17" s="15" t="s">
        <v>659</v>
      </c>
      <c r="G17" s="16" t="s">
        <v>655</v>
      </c>
      <c r="H17" s="17"/>
      <c r="I17" s="17">
        <v>648000</v>
      </c>
      <c r="J17" s="18">
        <f t="shared" si="0"/>
        <v>6925468</v>
      </c>
      <c r="K17" s="14" t="s">
        <v>680</v>
      </c>
    </row>
    <row r="18" spans="1:11" x14ac:dyDescent="0.25">
      <c r="A18" s="19">
        <v>16</v>
      </c>
      <c r="B18" s="20">
        <v>45761</v>
      </c>
      <c r="C18" s="20">
        <v>45761</v>
      </c>
      <c r="D18" s="21" t="s">
        <v>34</v>
      </c>
      <c r="E18" s="21" t="s">
        <v>35</v>
      </c>
      <c r="F18" s="22" t="s">
        <v>658</v>
      </c>
      <c r="G18" s="23" t="s">
        <v>655</v>
      </c>
      <c r="H18" s="24"/>
      <c r="I18" s="24">
        <v>150000</v>
      </c>
      <c r="J18" s="25">
        <f t="shared" si="0"/>
        <v>7075468</v>
      </c>
      <c r="K18" s="21" t="s">
        <v>681</v>
      </c>
    </row>
    <row r="19" spans="1:11" x14ac:dyDescent="0.25">
      <c r="A19" s="4">
        <v>17</v>
      </c>
      <c r="B19" s="5">
        <v>45762</v>
      </c>
      <c r="C19" s="5">
        <v>45762</v>
      </c>
      <c r="D19" s="6" t="s">
        <v>36</v>
      </c>
      <c r="E19" s="6" t="s">
        <v>37</v>
      </c>
      <c r="F19" s="7" t="s">
        <v>658</v>
      </c>
      <c r="G19" s="8" t="s">
        <v>655</v>
      </c>
      <c r="H19" s="9"/>
      <c r="I19" s="9">
        <v>70800</v>
      </c>
      <c r="J19" s="10">
        <f t="shared" si="0"/>
        <v>7146268</v>
      </c>
      <c r="K19" s="6" t="s">
        <v>682</v>
      </c>
    </row>
    <row r="20" spans="1:11" x14ac:dyDescent="0.25">
      <c r="A20" s="4">
        <v>18</v>
      </c>
      <c r="B20" s="5">
        <v>45762</v>
      </c>
      <c r="C20" s="5">
        <v>45762</v>
      </c>
      <c r="D20" s="6" t="s">
        <v>38</v>
      </c>
      <c r="E20" s="6" t="s">
        <v>39</v>
      </c>
      <c r="F20" s="7" t="s">
        <v>659</v>
      </c>
      <c r="G20" s="11" t="s">
        <v>657</v>
      </c>
      <c r="H20" s="9">
        <v>85000</v>
      </c>
      <c r="I20" s="9"/>
      <c r="J20" s="10">
        <f t="shared" si="0"/>
        <v>7061268</v>
      </c>
      <c r="K20" s="6" t="s">
        <v>683</v>
      </c>
    </row>
    <row r="21" spans="1:11" x14ac:dyDescent="0.25">
      <c r="A21" s="4">
        <v>19</v>
      </c>
      <c r="B21" s="5">
        <v>45762</v>
      </c>
      <c r="C21" s="5">
        <v>45762</v>
      </c>
      <c r="D21" s="6" t="s">
        <v>40</v>
      </c>
      <c r="E21" s="6" t="s">
        <v>41</v>
      </c>
      <c r="F21" s="7" t="s">
        <v>659</v>
      </c>
      <c r="G21" s="11" t="s">
        <v>657</v>
      </c>
      <c r="H21" s="9">
        <v>18000</v>
      </c>
      <c r="I21" s="9"/>
      <c r="J21" s="10">
        <f t="shared" si="0"/>
        <v>7043268</v>
      </c>
      <c r="K21" s="6" t="s">
        <v>683</v>
      </c>
    </row>
    <row r="22" spans="1:11" x14ac:dyDescent="0.25">
      <c r="A22" s="4">
        <v>20</v>
      </c>
      <c r="B22" s="5">
        <v>45764</v>
      </c>
      <c r="C22" s="5">
        <v>45764</v>
      </c>
      <c r="D22" s="6" t="s">
        <v>42</v>
      </c>
      <c r="E22" s="6" t="s">
        <v>43</v>
      </c>
      <c r="F22" s="7" t="s">
        <v>658</v>
      </c>
      <c r="G22" s="8" t="s">
        <v>655</v>
      </c>
      <c r="H22" s="9"/>
      <c r="I22" s="9">
        <v>354000</v>
      </c>
      <c r="J22" s="10">
        <f t="shared" si="0"/>
        <v>7397268</v>
      </c>
      <c r="K22" s="6" t="s">
        <v>684</v>
      </c>
    </row>
    <row r="23" spans="1:11" x14ac:dyDescent="0.25">
      <c r="A23" s="4">
        <v>21</v>
      </c>
      <c r="B23" s="5">
        <v>45768</v>
      </c>
      <c r="C23" s="5">
        <v>45768</v>
      </c>
      <c r="D23" s="6" t="s">
        <v>44</v>
      </c>
      <c r="E23" s="6" t="s">
        <v>45</v>
      </c>
      <c r="F23" s="7" t="s">
        <v>658</v>
      </c>
      <c r="G23" s="8" t="s">
        <v>655</v>
      </c>
      <c r="H23" s="9"/>
      <c r="I23" s="9">
        <v>70800</v>
      </c>
      <c r="J23" s="10">
        <f t="shared" si="0"/>
        <v>7468068</v>
      </c>
      <c r="K23" s="6" t="s">
        <v>685</v>
      </c>
    </row>
    <row r="24" spans="1:11" x14ac:dyDescent="0.25">
      <c r="A24" s="12">
        <v>22</v>
      </c>
      <c r="B24" s="13">
        <v>45769</v>
      </c>
      <c r="C24" s="13">
        <v>45769</v>
      </c>
      <c r="D24" s="14" t="s">
        <v>46</v>
      </c>
      <c r="E24" s="14" t="s">
        <v>47</v>
      </c>
      <c r="F24" s="15" t="s">
        <v>659</v>
      </c>
      <c r="G24" s="16" t="s">
        <v>655</v>
      </c>
      <c r="H24" s="17"/>
      <c r="I24" s="17">
        <v>324000</v>
      </c>
      <c r="J24" s="18">
        <f t="shared" si="0"/>
        <v>7792068</v>
      </c>
      <c r="K24" s="14" t="s">
        <v>686</v>
      </c>
    </row>
    <row r="25" spans="1:11" x14ac:dyDescent="0.25">
      <c r="A25" s="4">
        <v>23</v>
      </c>
      <c r="B25" s="5">
        <v>45771</v>
      </c>
      <c r="C25" s="5">
        <v>45771</v>
      </c>
      <c r="D25" s="6" t="s">
        <v>48</v>
      </c>
      <c r="E25" s="6" t="s">
        <v>49</v>
      </c>
      <c r="F25" s="7" t="s">
        <v>661</v>
      </c>
      <c r="G25" s="11" t="s">
        <v>657</v>
      </c>
      <c r="H25" s="9">
        <v>18000</v>
      </c>
      <c r="I25" s="9"/>
      <c r="J25" s="10">
        <f t="shared" si="0"/>
        <v>7774068</v>
      </c>
      <c r="K25" s="6" t="s">
        <v>687</v>
      </c>
    </row>
    <row r="26" spans="1:11" x14ac:dyDescent="0.25">
      <c r="A26" s="4">
        <v>24</v>
      </c>
      <c r="B26" s="5">
        <v>45774</v>
      </c>
      <c r="C26" s="5">
        <v>45774</v>
      </c>
      <c r="D26" s="6" t="s">
        <v>50</v>
      </c>
      <c r="E26" s="6" t="s">
        <v>51</v>
      </c>
      <c r="F26" s="7" t="s">
        <v>658</v>
      </c>
      <c r="G26" s="11" t="s">
        <v>657</v>
      </c>
      <c r="H26" s="9">
        <v>1000000</v>
      </c>
      <c r="I26" s="9"/>
      <c r="J26" s="10">
        <f t="shared" si="0"/>
        <v>6774068</v>
      </c>
      <c r="K26" s="6" t="s">
        <v>671</v>
      </c>
    </row>
    <row r="27" spans="1:11" x14ac:dyDescent="0.25">
      <c r="A27" s="4">
        <v>25</v>
      </c>
      <c r="B27" s="5">
        <v>45775</v>
      </c>
      <c r="C27" s="5">
        <v>45775</v>
      </c>
      <c r="D27" s="6" t="s">
        <v>52</v>
      </c>
      <c r="E27" s="6" t="s">
        <v>53</v>
      </c>
      <c r="F27" s="7" t="s">
        <v>659</v>
      </c>
      <c r="G27" s="11" t="s">
        <v>657</v>
      </c>
      <c r="H27" s="9">
        <v>875000</v>
      </c>
      <c r="I27" s="9"/>
      <c r="J27" s="10">
        <f t="shared" si="0"/>
        <v>5899068</v>
      </c>
      <c r="K27" s="6" t="s">
        <v>688</v>
      </c>
    </row>
    <row r="28" spans="1:11" x14ac:dyDescent="0.25">
      <c r="A28" s="4">
        <v>26</v>
      </c>
      <c r="B28" s="5">
        <v>45775</v>
      </c>
      <c r="C28" s="5">
        <v>45775</v>
      </c>
      <c r="D28" s="6" t="s">
        <v>54</v>
      </c>
      <c r="E28" s="6" t="s">
        <v>55</v>
      </c>
      <c r="F28" s="7" t="s">
        <v>658</v>
      </c>
      <c r="G28" s="8" t="s">
        <v>655</v>
      </c>
      <c r="H28" s="9"/>
      <c r="I28" s="9">
        <v>150000</v>
      </c>
      <c r="J28" s="10">
        <f t="shared" si="0"/>
        <v>6049068</v>
      </c>
      <c r="K28" s="6" t="s">
        <v>689</v>
      </c>
    </row>
    <row r="29" spans="1:11" x14ac:dyDescent="0.25">
      <c r="A29" s="4">
        <v>27</v>
      </c>
      <c r="B29" s="5">
        <v>45777</v>
      </c>
      <c r="C29" s="5">
        <v>45777</v>
      </c>
      <c r="D29" s="6" t="s">
        <v>56</v>
      </c>
      <c r="E29" s="6" t="s">
        <v>57</v>
      </c>
      <c r="F29" s="7" t="s">
        <v>662</v>
      </c>
      <c r="G29" s="8" t="s">
        <v>655</v>
      </c>
      <c r="H29" s="9"/>
      <c r="I29" s="9">
        <v>354000</v>
      </c>
      <c r="J29" s="10">
        <f t="shared" si="0"/>
        <v>6403068</v>
      </c>
      <c r="K29" s="6" t="s">
        <v>690</v>
      </c>
    </row>
    <row r="30" spans="1:11" x14ac:dyDescent="0.25">
      <c r="A30" s="12">
        <v>28</v>
      </c>
      <c r="B30" s="13">
        <v>45777</v>
      </c>
      <c r="C30" s="13">
        <v>45777</v>
      </c>
      <c r="D30" s="14" t="s">
        <v>58</v>
      </c>
      <c r="E30" s="14" t="s">
        <v>59</v>
      </c>
      <c r="F30" s="15" t="s">
        <v>659</v>
      </c>
      <c r="G30" s="16" t="s">
        <v>655</v>
      </c>
      <c r="H30" s="17"/>
      <c r="I30" s="17">
        <v>324000</v>
      </c>
      <c r="J30" s="18">
        <f t="shared" si="0"/>
        <v>6727068</v>
      </c>
      <c r="K30" s="14" t="s">
        <v>691</v>
      </c>
    </row>
    <row r="31" spans="1:11" x14ac:dyDescent="0.25">
      <c r="A31" s="4">
        <v>29</v>
      </c>
      <c r="B31" s="5">
        <v>45777</v>
      </c>
      <c r="C31" s="5">
        <v>45777</v>
      </c>
      <c r="D31" s="6" t="s">
        <v>60</v>
      </c>
      <c r="E31" s="6" t="s">
        <v>61</v>
      </c>
      <c r="F31" s="7" t="s">
        <v>658</v>
      </c>
      <c r="G31" s="8" t="s">
        <v>655</v>
      </c>
      <c r="H31" s="9"/>
      <c r="I31" s="9">
        <v>70800</v>
      </c>
      <c r="J31" s="10">
        <f t="shared" si="0"/>
        <v>6797868</v>
      </c>
      <c r="K31" s="6" t="s">
        <v>692</v>
      </c>
    </row>
    <row r="32" spans="1:11" x14ac:dyDescent="0.25">
      <c r="A32" s="4">
        <v>30</v>
      </c>
      <c r="B32" s="5">
        <v>45777</v>
      </c>
      <c r="C32" s="5">
        <v>45777</v>
      </c>
      <c r="D32" s="6" t="s">
        <v>62</v>
      </c>
      <c r="E32" s="6" t="s">
        <v>63</v>
      </c>
      <c r="F32" s="7" t="s">
        <v>658</v>
      </c>
      <c r="G32" s="8" t="s">
        <v>655</v>
      </c>
      <c r="H32" s="9"/>
      <c r="I32" s="9">
        <v>53100</v>
      </c>
      <c r="J32" s="10">
        <f t="shared" si="0"/>
        <v>6850968</v>
      </c>
      <c r="K32" s="6" t="s">
        <v>693</v>
      </c>
    </row>
    <row r="33" spans="1:11" x14ac:dyDescent="0.25">
      <c r="A33" s="4">
        <v>31</v>
      </c>
      <c r="B33" s="5">
        <v>45778</v>
      </c>
      <c r="C33" s="5">
        <v>45778</v>
      </c>
      <c r="D33" s="6" t="s">
        <v>64</v>
      </c>
      <c r="E33" s="6" t="s">
        <v>65</v>
      </c>
      <c r="F33" s="7" t="s">
        <v>654</v>
      </c>
      <c r="G33" s="8" t="s">
        <v>655</v>
      </c>
      <c r="H33" s="9"/>
      <c r="I33" s="9">
        <v>18500</v>
      </c>
      <c r="J33" s="10">
        <f t="shared" si="0"/>
        <v>6869468</v>
      </c>
      <c r="K33" s="6" t="s">
        <v>668</v>
      </c>
    </row>
    <row r="34" spans="1:11" x14ac:dyDescent="0.25">
      <c r="A34" s="4">
        <v>32</v>
      </c>
      <c r="B34" s="5">
        <v>45778</v>
      </c>
      <c r="C34" s="5">
        <v>45778</v>
      </c>
      <c r="D34" s="6" t="s">
        <v>66</v>
      </c>
      <c r="E34" s="6" t="s">
        <v>65</v>
      </c>
      <c r="F34" s="7" t="s">
        <v>654</v>
      </c>
      <c r="G34" s="8" t="s">
        <v>655</v>
      </c>
      <c r="H34" s="9"/>
      <c r="I34" s="9">
        <v>22000</v>
      </c>
      <c r="J34" s="10">
        <f t="shared" si="0"/>
        <v>6891468</v>
      </c>
      <c r="K34" s="6" t="s">
        <v>668</v>
      </c>
    </row>
    <row r="35" spans="1:11" x14ac:dyDescent="0.25">
      <c r="A35" s="4">
        <v>33</v>
      </c>
      <c r="B35" s="5">
        <v>45778</v>
      </c>
      <c r="C35" s="5">
        <v>45778</v>
      </c>
      <c r="D35" s="6" t="s">
        <v>67</v>
      </c>
      <c r="E35" s="6" t="s">
        <v>68</v>
      </c>
      <c r="F35" s="7" t="s">
        <v>656</v>
      </c>
      <c r="G35" s="11" t="s">
        <v>657</v>
      </c>
      <c r="H35" s="9">
        <v>2200</v>
      </c>
      <c r="I35" s="9"/>
      <c r="J35" s="10">
        <f t="shared" si="0"/>
        <v>6889268</v>
      </c>
      <c r="K35" s="6" t="s">
        <v>669</v>
      </c>
    </row>
    <row r="36" spans="1:11" x14ac:dyDescent="0.25">
      <c r="A36" s="4">
        <v>34</v>
      </c>
      <c r="B36" s="5">
        <v>45778</v>
      </c>
      <c r="C36" s="5">
        <v>45778</v>
      </c>
      <c r="D36" s="6" t="s">
        <v>69</v>
      </c>
      <c r="E36" s="6" t="s">
        <v>70</v>
      </c>
      <c r="F36" s="7" t="s">
        <v>656</v>
      </c>
      <c r="G36" s="11" t="s">
        <v>657</v>
      </c>
      <c r="H36" s="9">
        <v>396</v>
      </c>
      <c r="I36" s="9"/>
      <c r="J36" s="10">
        <f t="shared" si="0"/>
        <v>6888872</v>
      </c>
      <c r="K36" s="6" t="s">
        <v>669</v>
      </c>
    </row>
    <row r="37" spans="1:11" x14ac:dyDescent="0.25">
      <c r="A37" s="4">
        <v>35</v>
      </c>
      <c r="B37" s="5">
        <v>45778</v>
      </c>
      <c r="C37" s="5">
        <v>45778</v>
      </c>
      <c r="D37" s="6" t="s">
        <v>71</v>
      </c>
      <c r="E37" s="6" t="s">
        <v>72</v>
      </c>
      <c r="F37" s="7" t="s">
        <v>659</v>
      </c>
      <c r="G37" s="11" t="s">
        <v>657</v>
      </c>
      <c r="H37" s="9">
        <v>150000</v>
      </c>
      <c r="I37" s="9"/>
      <c r="J37" s="10">
        <f t="shared" si="0"/>
        <v>6738872</v>
      </c>
      <c r="K37" s="6" t="s">
        <v>675</v>
      </c>
    </row>
    <row r="38" spans="1:11" x14ac:dyDescent="0.25">
      <c r="A38" s="4">
        <v>36</v>
      </c>
      <c r="B38" s="5">
        <v>45778</v>
      </c>
      <c r="C38" s="5">
        <v>45778</v>
      </c>
      <c r="D38" s="6" t="s">
        <v>73</v>
      </c>
      <c r="E38" s="6" t="s">
        <v>74</v>
      </c>
      <c r="F38" s="7" t="s">
        <v>659</v>
      </c>
      <c r="G38" s="11" t="s">
        <v>657</v>
      </c>
      <c r="H38" s="9">
        <v>20000</v>
      </c>
      <c r="I38" s="9"/>
      <c r="J38" s="10">
        <f t="shared" si="0"/>
        <v>6718872</v>
      </c>
      <c r="K38" s="6" t="s">
        <v>694</v>
      </c>
    </row>
    <row r="39" spans="1:11" x14ac:dyDescent="0.25">
      <c r="A39" s="4">
        <v>37</v>
      </c>
      <c r="B39" s="5">
        <v>45779</v>
      </c>
      <c r="C39" s="5">
        <v>45779</v>
      </c>
      <c r="D39" s="6" t="s">
        <v>75</v>
      </c>
      <c r="E39" s="6" t="s">
        <v>57</v>
      </c>
      <c r="F39" s="7" t="s">
        <v>662</v>
      </c>
      <c r="G39" s="8" t="s">
        <v>655</v>
      </c>
      <c r="H39" s="9"/>
      <c r="I39" s="9">
        <v>236000</v>
      </c>
      <c r="J39" s="10">
        <f t="shared" si="0"/>
        <v>6954872</v>
      </c>
      <c r="K39" s="6" t="s">
        <v>695</v>
      </c>
    </row>
    <row r="40" spans="1:11" x14ac:dyDescent="0.25">
      <c r="A40" s="4">
        <v>38</v>
      </c>
      <c r="B40" s="5">
        <v>45780</v>
      </c>
      <c r="C40" s="5">
        <v>45780</v>
      </c>
      <c r="D40" s="6" t="s">
        <v>76</v>
      </c>
      <c r="E40" s="6" t="s">
        <v>77</v>
      </c>
      <c r="F40" s="7" t="s">
        <v>658</v>
      </c>
      <c r="G40" s="8" t="s">
        <v>655</v>
      </c>
      <c r="H40" s="9"/>
      <c r="I40" s="9">
        <v>50000</v>
      </c>
      <c r="J40" s="10">
        <f t="shared" si="0"/>
        <v>7004872</v>
      </c>
      <c r="K40" s="6" t="s">
        <v>696</v>
      </c>
    </row>
    <row r="41" spans="1:11" x14ac:dyDescent="0.25">
      <c r="A41" s="4">
        <v>39</v>
      </c>
      <c r="B41" s="5">
        <v>45780</v>
      </c>
      <c r="C41" s="5">
        <v>45780</v>
      </c>
      <c r="D41" s="6" t="s">
        <v>78</v>
      </c>
      <c r="E41" s="6" t="s">
        <v>79</v>
      </c>
      <c r="F41" s="7" t="s">
        <v>659</v>
      </c>
      <c r="G41" s="11" t="s">
        <v>657</v>
      </c>
      <c r="H41" s="9">
        <v>20000</v>
      </c>
      <c r="I41" s="9"/>
      <c r="J41" s="10">
        <f t="shared" si="0"/>
        <v>6984872</v>
      </c>
      <c r="K41" s="6" t="s">
        <v>697</v>
      </c>
    </row>
    <row r="42" spans="1:11" x14ac:dyDescent="0.25">
      <c r="A42" s="19">
        <v>40</v>
      </c>
      <c r="B42" s="20">
        <v>45780</v>
      </c>
      <c r="C42" s="20">
        <v>45780</v>
      </c>
      <c r="D42" s="21" t="s">
        <v>80</v>
      </c>
      <c r="E42" s="21" t="s">
        <v>81</v>
      </c>
      <c r="F42" s="22" t="s">
        <v>658</v>
      </c>
      <c r="G42" s="23" t="s">
        <v>655</v>
      </c>
      <c r="H42" s="24"/>
      <c r="I42" s="24">
        <v>100000</v>
      </c>
      <c r="J42" s="25">
        <f t="shared" si="0"/>
        <v>7084872</v>
      </c>
      <c r="K42" s="21" t="s">
        <v>698</v>
      </c>
    </row>
    <row r="43" spans="1:11" x14ac:dyDescent="0.25">
      <c r="A43" s="4">
        <v>41</v>
      </c>
      <c r="B43" s="5">
        <v>45783</v>
      </c>
      <c r="C43" s="5">
        <v>45783</v>
      </c>
      <c r="D43" s="6" t="s">
        <v>82</v>
      </c>
      <c r="E43" s="6" t="s">
        <v>83</v>
      </c>
      <c r="F43" s="7" t="s">
        <v>658</v>
      </c>
      <c r="G43" s="8" t="s">
        <v>655</v>
      </c>
      <c r="H43" s="9"/>
      <c r="I43" s="9">
        <v>70800</v>
      </c>
      <c r="J43" s="10">
        <f t="shared" si="0"/>
        <v>7155672</v>
      </c>
      <c r="K43" s="6" t="s">
        <v>699</v>
      </c>
    </row>
    <row r="44" spans="1:11" x14ac:dyDescent="0.25">
      <c r="A44" s="19">
        <v>42</v>
      </c>
      <c r="B44" s="20">
        <v>45783</v>
      </c>
      <c r="C44" s="20">
        <v>45783</v>
      </c>
      <c r="D44" s="21" t="s">
        <v>84</v>
      </c>
      <c r="E44" s="21" t="s">
        <v>85</v>
      </c>
      <c r="F44" s="22" t="s">
        <v>660</v>
      </c>
      <c r="G44" s="23" t="s">
        <v>655</v>
      </c>
      <c r="H44" s="24"/>
      <c r="I44" s="24">
        <v>30000</v>
      </c>
      <c r="J44" s="25">
        <f t="shared" si="0"/>
        <v>7185672</v>
      </c>
      <c r="K44" s="21" t="s">
        <v>700</v>
      </c>
    </row>
    <row r="45" spans="1:11" x14ac:dyDescent="0.25">
      <c r="A45" s="4">
        <v>43</v>
      </c>
      <c r="B45" s="5">
        <v>45788</v>
      </c>
      <c r="C45" s="5">
        <v>45788</v>
      </c>
      <c r="D45" s="6" t="s">
        <v>86</v>
      </c>
      <c r="E45" s="6" t="s">
        <v>87</v>
      </c>
      <c r="F45" s="7" t="s">
        <v>658</v>
      </c>
      <c r="G45" s="8" t="s">
        <v>655</v>
      </c>
      <c r="H45" s="9"/>
      <c r="I45" s="9">
        <v>53100</v>
      </c>
      <c r="J45" s="10">
        <f t="shared" si="0"/>
        <v>7238772</v>
      </c>
      <c r="K45" s="6" t="s">
        <v>701</v>
      </c>
    </row>
    <row r="46" spans="1:11" x14ac:dyDescent="0.25">
      <c r="A46" s="12">
        <v>44</v>
      </c>
      <c r="B46" s="13">
        <v>45789</v>
      </c>
      <c r="C46" s="13">
        <v>45789</v>
      </c>
      <c r="D46" s="14" t="s">
        <v>88</v>
      </c>
      <c r="E46" s="14" t="s">
        <v>89</v>
      </c>
      <c r="F46" s="15" t="s">
        <v>659</v>
      </c>
      <c r="G46" s="16" t="s">
        <v>655</v>
      </c>
      <c r="H46" s="17"/>
      <c r="I46" s="17">
        <v>540000</v>
      </c>
      <c r="J46" s="18">
        <f t="shared" si="0"/>
        <v>7778772</v>
      </c>
      <c r="K46" s="14" t="s">
        <v>702</v>
      </c>
    </row>
    <row r="47" spans="1:11" x14ac:dyDescent="0.25">
      <c r="A47" s="4">
        <v>45</v>
      </c>
      <c r="B47" s="5">
        <v>45791</v>
      </c>
      <c r="C47" s="5">
        <v>45791</v>
      </c>
      <c r="D47" s="6" t="s">
        <v>90</v>
      </c>
      <c r="E47" s="6" t="s">
        <v>91</v>
      </c>
      <c r="F47" s="7" t="s">
        <v>658</v>
      </c>
      <c r="G47" s="8" t="s">
        <v>655</v>
      </c>
      <c r="H47" s="9"/>
      <c r="I47" s="9">
        <v>53100</v>
      </c>
      <c r="J47" s="10">
        <f t="shared" si="0"/>
        <v>7831872</v>
      </c>
      <c r="K47" s="6" t="s">
        <v>703</v>
      </c>
    </row>
    <row r="48" spans="1:11" x14ac:dyDescent="0.25">
      <c r="A48" s="4">
        <v>46</v>
      </c>
      <c r="B48" s="5">
        <v>45791</v>
      </c>
      <c r="C48" s="5">
        <v>45791</v>
      </c>
      <c r="D48" s="6" t="s">
        <v>92</v>
      </c>
      <c r="E48" s="6" t="s">
        <v>93</v>
      </c>
      <c r="F48" s="7" t="s">
        <v>658</v>
      </c>
      <c r="G48" s="8" t="s">
        <v>655</v>
      </c>
      <c r="H48" s="9"/>
      <c r="I48" s="9">
        <v>50000</v>
      </c>
      <c r="J48" s="10">
        <f t="shared" si="0"/>
        <v>7881872</v>
      </c>
      <c r="K48" s="6" t="s">
        <v>704</v>
      </c>
    </row>
    <row r="49" spans="1:11" x14ac:dyDescent="0.25">
      <c r="A49" s="4">
        <v>47</v>
      </c>
      <c r="B49" s="5">
        <v>45792</v>
      </c>
      <c r="C49" s="5">
        <v>45792</v>
      </c>
      <c r="D49" s="6" t="s">
        <v>94</v>
      </c>
      <c r="E49" s="6" t="s">
        <v>95</v>
      </c>
      <c r="F49" s="7" t="s">
        <v>658</v>
      </c>
      <c r="G49" s="8" t="s">
        <v>655</v>
      </c>
      <c r="H49" s="9"/>
      <c r="I49" s="9">
        <v>53100</v>
      </c>
      <c r="J49" s="10">
        <f t="shared" si="0"/>
        <v>7934972</v>
      </c>
      <c r="K49" s="6" t="s">
        <v>705</v>
      </c>
    </row>
    <row r="50" spans="1:11" x14ac:dyDescent="0.25">
      <c r="A50" s="4">
        <v>48</v>
      </c>
      <c r="B50" s="5">
        <v>45792</v>
      </c>
      <c r="C50" s="5">
        <v>45792</v>
      </c>
      <c r="D50" s="6" t="s">
        <v>96</v>
      </c>
      <c r="E50" s="6" t="s">
        <v>97</v>
      </c>
      <c r="F50" s="7" t="s">
        <v>659</v>
      </c>
      <c r="G50" s="11" t="s">
        <v>657</v>
      </c>
      <c r="H50" s="9">
        <v>85000</v>
      </c>
      <c r="I50" s="9"/>
      <c r="J50" s="10">
        <f t="shared" si="0"/>
        <v>7849972</v>
      </c>
      <c r="K50" s="6" t="s">
        <v>683</v>
      </c>
    </row>
    <row r="51" spans="1:11" x14ac:dyDescent="0.25">
      <c r="A51" s="4">
        <v>49</v>
      </c>
      <c r="B51" s="5">
        <v>45792</v>
      </c>
      <c r="C51" s="5">
        <v>45792</v>
      </c>
      <c r="D51" s="6" t="s">
        <v>98</v>
      </c>
      <c r="E51" s="6" t="s">
        <v>99</v>
      </c>
      <c r="F51" s="7" t="s">
        <v>659</v>
      </c>
      <c r="G51" s="11" t="s">
        <v>657</v>
      </c>
      <c r="H51" s="9">
        <v>18000</v>
      </c>
      <c r="I51" s="9"/>
      <c r="J51" s="10">
        <f t="shared" si="0"/>
        <v>7831972</v>
      </c>
      <c r="K51" s="6" t="s">
        <v>683</v>
      </c>
    </row>
    <row r="52" spans="1:11" x14ac:dyDescent="0.25">
      <c r="A52" s="4">
        <v>50</v>
      </c>
      <c r="B52" s="5">
        <v>45793</v>
      </c>
      <c r="C52" s="5">
        <v>45793</v>
      </c>
      <c r="D52" s="6" t="s">
        <v>100</v>
      </c>
      <c r="E52" s="6" t="s">
        <v>101</v>
      </c>
      <c r="F52" s="7" t="s">
        <v>659</v>
      </c>
      <c r="G52" s="8" t="s">
        <v>655</v>
      </c>
      <c r="H52" s="9"/>
      <c r="I52" s="9">
        <v>82600</v>
      </c>
      <c r="J52" s="10">
        <f t="shared" si="0"/>
        <v>7914572</v>
      </c>
      <c r="K52" s="6" t="s">
        <v>706</v>
      </c>
    </row>
    <row r="53" spans="1:11" x14ac:dyDescent="0.25">
      <c r="A53" s="12">
        <v>51</v>
      </c>
      <c r="B53" s="13">
        <v>45794</v>
      </c>
      <c r="C53" s="13">
        <v>45794</v>
      </c>
      <c r="D53" s="14" t="s">
        <v>102</v>
      </c>
      <c r="E53" s="14" t="s">
        <v>103</v>
      </c>
      <c r="F53" s="15" t="s">
        <v>659</v>
      </c>
      <c r="G53" s="16" t="s">
        <v>655</v>
      </c>
      <c r="H53" s="17"/>
      <c r="I53" s="17">
        <v>118000</v>
      </c>
      <c r="J53" s="18">
        <f t="shared" si="0"/>
        <v>8032572</v>
      </c>
      <c r="K53" s="14" t="s">
        <v>707</v>
      </c>
    </row>
    <row r="54" spans="1:11" x14ac:dyDescent="0.25">
      <c r="A54" s="4">
        <v>52</v>
      </c>
      <c r="B54" s="5">
        <v>45795</v>
      </c>
      <c r="C54" s="5">
        <v>45795</v>
      </c>
      <c r="D54" s="6" t="s">
        <v>104</v>
      </c>
      <c r="E54" s="6" t="s">
        <v>105</v>
      </c>
      <c r="F54" s="7" t="s">
        <v>658</v>
      </c>
      <c r="G54" s="8" t="s">
        <v>655</v>
      </c>
      <c r="H54" s="9"/>
      <c r="I54" s="9">
        <v>354000</v>
      </c>
      <c r="J54" s="10">
        <f t="shared" si="0"/>
        <v>8386572</v>
      </c>
      <c r="K54" s="6" t="s">
        <v>708</v>
      </c>
    </row>
    <row r="55" spans="1:11" x14ac:dyDescent="0.25">
      <c r="A55" s="4">
        <v>53</v>
      </c>
      <c r="B55" s="5">
        <v>45796</v>
      </c>
      <c r="C55" s="5">
        <v>45796</v>
      </c>
      <c r="D55" s="6" t="s">
        <v>106</v>
      </c>
      <c r="E55" s="6" t="s">
        <v>107</v>
      </c>
      <c r="F55" s="7" t="s">
        <v>658</v>
      </c>
      <c r="G55" s="8" t="s">
        <v>655</v>
      </c>
      <c r="H55" s="9"/>
      <c r="I55" s="9">
        <v>150000</v>
      </c>
      <c r="J55" s="10">
        <f t="shared" si="0"/>
        <v>8536572</v>
      </c>
      <c r="K55" s="6" t="s">
        <v>709</v>
      </c>
    </row>
    <row r="56" spans="1:11" x14ac:dyDescent="0.25">
      <c r="A56" s="4">
        <v>54</v>
      </c>
      <c r="B56" s="5">
        <v>45797</v>
      </c>
      <c r="C56" s="5">
        <v>45797</v>
      </c>
      <c r="D56" s="6" t="s">
        <v>108</v>
      </c>
      <c r="E56" s="6" t="s">
        <v>109</v>
      </c>
      <c r="F56" s="7" t="s">
        <v>659</v>
      </c>
      <c r="G56" s="8" t="s">
        <v>655</v>
      </c>
      <c r="H56" s="9"/>
      <c r="I56" s="9">
        <v>354000</v>
      </c>
      <c r="J56" s="10">
        <f t="shared" si="0"/>
        <v>8890572</v>
      </c>
      <c r="K56" s="6" t="s">
        <v>710</v>
      </c>
    </row>
    <row r="57" spans="1:11" x14ac:dyDescent="0.25">
      <c r="A57" s="4">
        <v>55</v>
      </c>
      <c r="B57" s="5">
        <v>45797</v>
      </c>
      <c r="C57" s="5">
        <v>45797</v>
      </c>
      <c r="D57" s="6" t="s">
        <v>110</v>
      </c>
      <c r="E57" s="6" t="s">
        <v>111</v>
      </c>
      <c r="F57" s="7" t="s">
        <v>658</v>
      </c>
      <c r="G57" s="8" t="s">
        <v>655</v>
      </c>
      <c r="H57" s="9"/>
      <c r="I57" s="9">
        <v>236000</v>
      </c>
      <c r="J57" s="10">
        <f t="shared" si="0"/>
        <v>9126572</v>
      </c>
      <c r="K57" s="6" t="s">
        <v>711</v>
      </c>
    </row>
    <row r="58" spans="1:11" x14ac:dyDescent="0.25">
      <c r="A58" s="4">
        <v>56</v>
      </c>
      <c r="B58" s="5">
        <v>45797</v>
      </c>
      <c r="C58" s="5">
        <v>45797</v>
      </c>
      <c r="D58" s="6" t="s">
        <v>112</v>
      </c>
      <c r="E58" s="6" t="s">
        <v>113</v>
      </c>
      <c r="F58" s="7" t="s">
        <v>659</v>
      </c>
      <c r="G58" s="11" t="s">
        <v>657</v>
      </c>
      <c r="H58" s="9">
        <v>300000</v>
      </c>
      <c r="I58" s="9"/>
      <c r="J58" s="10">
        <f t="shared" si="0"/>
        <v>8826572</v>
      </c>
      <c r="K58" s="6" t="s">
        <v>683</v>
      </c>
    </row>
    <row r="59" spans="1:11" x14ac:dyDescent="0.25">
      <c r="A59" s="19">
        <v>57</v>
      </c>
      <c r="B59" s="20">
        <v>45797</v>
      </c>
      <c r="C59" s="20">
        <v>45797</v>
      </c>
      <c r="D59" s="21" t="s">
        <v>114</v>
      </c>
      <c r="E59" s="21" t="s">
        <v>115</v>
      </c>
      <c r="F59" s="22" t="s">
        <v>660</v>
      </c>
      <c r="G59" s="23" t="s">
        <v>655</v>
      </c>
      <c r="H59" s="24"/>
      <c r="I59" s="24">
        <v>15000</v>
      </c>
      <c r="J59" s="25">
        <f t="shared" si="0"/>
        <v>8841572</v>
      </c>
      <c r="K59" s="21" t="s">
        <v>712</v>
      </c>
    </row>
    <row r="60" spans="1:11" x14ac:dyDescent="0.25">
      <c r="A60" s="4">
        <v>58</v>
      </c>
      <c r="B60" s="5">
        <v>45798</v>
      </c>
      <c r="C60" s="5">
        <v>45798</v>
      </c>
      <c r="D60" s="6" t="s">
        <v>116</v>
      </c>
      <c r="E60" s="6" t="s">
        <v>117</v>
      </c>
      <c r="F60" s="7" t="s">
        <v>661</v>
      </c>
      <c r="G60" s="11" t="s">
        <v>657</v>
      </c>
      <c r="H60" s="9">
        <v>60000</v>
      </c>
      <c r="I60" s="9"/>
      <c r="J60" s="10">
        <f t="shared" si="0"/>
        <v>8781572</v>
      </c>
      <c r="K60" s="6" t="s">
        <v>713</v>
      </c>
    </row>
    <row r="61" spans="1:11" x14ac:dyDescent="0.25">
      <c r="A61" s="4">
        <v>59</v>
      </c>
      <c r="B61" s="5">
        <v>45798</v>
      </c>
      <c r="C61" s="5">
        <v>45798</v>
      </c>
      <c r="D61" s="6" t="s">
        <v>118</v>
      </c>
      <c r="E61" s="6" t="s">
        <v>119</v>
      </c>
      <c r="F61" s="7" t="s">
        <v>659</v>
      </c>
      <c r="G61" s="8" t="s">
        <v>655</v>
      </c>
      <c r="H61" s="9"/>
      <c r="I61" s="9">
        <v>17700</v>
      </c>
      <c r="J61" s="10">
        <f t="shared" si="0"/>
        <v>8799272</v>
      </c>
      <c r="K61" s="6" t="s">
        <v>714</v>
      </c>
    </row>
    <row r="62" spans="1:11" x14ac:dyDescent="0.25">
      <c r="A62" s="19">
        <v>60</v>
      </c>
      <c r="B62" s="20">
        <v>45798</v>
      </c>
      <c r="C62" s="20">
        <v>45798</v>
      </c>
      <c r="D62" s="21" t="s">
        <v>120</v>
      </c>
      <c r="E62" s="21" t="s">
        <v>121</v>
      </c>
      <c r="F62" s="22" t="s">
        <v>658</v>
      </c>
      <c r="G62" s="23" t="s">
        <v>655</v>
      </c>
      <c r="H62" s="24"/>
      <c r="I62" s="24">
        <v>50000</v>
      </c>
      <c r="J62" s="25">
        <f t="shared" si="0"/>
        <v>8849272</v>
      </c>
      <c r="K62" s="21" t="s">
        <v>715</v>
      </c>
    </row>
    <row r="63" spans="1:11" x14ac:dyDescent="0.25">
      <c r="A63" s="4">
        <v>61</v>
      </c>
      <c r="B63" s="5">
        <v>45799</v>
      </c>
      <c r="C63" s="5">
        <v>45799</v>
      </c>
      <c r="D63" s="6" t="s">
        <v>122</v>
      </c>
      <c r="E63" s="6" t="s">
        <v>123</v>
      </c>
      <c r="F63" s="7" t="s">
        <v>659</v>
      </c>
      <c r="G63" s="8" t="s">
        <v>655</v>
      </c>
      <c r="H63" s="9"/>
      <c r="I63" s="9">
        <v>118000</v>
      </c>
      <c r="J63" s="10">
        <f t="shared" si="0"/>
        <v>8967272</v>
      </c>
      <c r="K63" s="6" t="s">
        <v>716</v>
      </c>
    </row>
    <row r="64" spans="1:11" x14ac:dyDescent="0.25">
      <c r="A64" s="4">
        <v>62</v>
      </c>
      <c r="B64" s="5">
        <v>45799</v>
      </c>
      <c r="C64" s="5">
        <v>45799</v>
      </c>
      <c r="D64" s="6" t="s">
        <v>124</v>
      </c>
      <c r="E64" s="6" t="s">
        <v>125</v>
      </c>
      <c r="F64" s="7" t="s">
        <v>659</v>
      </c>
      <c r="G64" s="11" t="s">
        <v>657</v>
      </c>
      <c r="H64" s="9">
        <v>50000</v>
      </c>
      <c r="I64" s="9"/>
      <c r="J64" s="10">
        <f t="shared" si="0"/>
        <v>8917272</v>
      </c>
      <c r="K64" s="6" t="s">
        <v>675</v>
      </c>
    </row>
    <row r="65" spans="1:11" x14ac:dyDescent="0.25">
      <c r="A65" s="19">
        <v>63</v>
      </c>
      <c r="B65" s="20">
        <v>45802</v>
      </c>
      <c r="C65" s="20">
        <v>45802</v>
      </c>
      <c r="D65" s="21" t="s">
        <v>126</v>
      </c>
      <c r="E65" s="21" t="s">
        <v>127</v>
      </c>
      <c r="F65" s="22" t="s">
        <v>660</v>
      </c>
      <c r="G65" s="23" t="s">
        <v>655</v>
      </c>
      <c r="H65" s="24"/>
      <c r="I65" s="24">
        <v>15000</v>
      </c>
      <c r="J65" s="25">
        <f t="shared" si="0"/>
        <v>8932272</v>
      </c>
      <c r="K65" s="21" t="s">
        <v>717</v>
      </c>
    </row>
    <row r="66" spans="1:11" x14ac:dyDescent="0.25">
      <c r="A66" s="12">
        <v>64</v>
      </c>
      <c r="B66" s="13">
        <v>45804</v>
      </c>
      <c r="C66" s="13">
        <v>45804</v>
      </c>
      <c r="D66" s="14" t="s">
        <v>128</v>
      </c>
      <c r="E66" s="14" t="s">
        <v>31</v>
      </c>
      <c r="F66" s="15" t="s">
        <v>659</v>
      </c>
      <c r="G66" s="16" t="s">
        <v>655</v>
      </c>
      <c r="H66" s="17"/>
      <c r="I66" s="17">
        <v>432000</v>
      </c>
      <c r="J66" s="18">
        <f t="shared" si="0"/>
        <v>9364272</v>
      </c>
      <c r="K66" s="14" t="s">
        <v>718</v>
      </c>
    </row>
    <row r="67" spans="1:11" x14ac:dyDescent="0.25">
      <c r="A67" s="4">
        <v>65</v>
      </c>
      <c r="B67" s="5">
        <v>45805</v>
      </c>
      <c r="C67" s="5">
        <v>45805</v>
      </c>
      <c r="D67" s="6" t="s">
        <v>129</v>
      </c>
      <c r="E67" s="6" t="s">
        <v>130</v>
      </c>
      <c r="F67" s="7" t="s">
        <v>659</v>
      </c>
      <c r="G67" s="11" t="s">
        <v>657</v>
      </c>
      <c r="H67" s="9">
        <v>875000</v>
      </c>
      <c r="I67" s="9"/>
      <c r="J67" s="10">
        <f t="shared" ref="J67:J130" si="1">J66+I67-H67</f>
        <v>8489272</v>
      </c>
      <c r="K67" s="6" t="s">
        <v>688</v>
      </c>
    </row>
    <row r="68" spans="1:11" x14ac:dyDescent="0.25">
      <c r="A68" s="4">
        <v>66</v>
      </c>
      <c r="B68" s="5">
        <v>45805</v>
      </c>
      <c r="C68" s="5">
        <v>45805</v>
      </c>
      <c r="D68" s="6" t="s">
        <v>131</v>
      </c>
      <c r="E68" s="6" t="s">
        <v>132</v>
      </c>
      <c r="F68" s="7" t="s">
        <v>659</v>
      </c>
      <c r="G68" s="11" t="s">
        <v>657</v>
      </c>
      <c r="H68" s="9">
        <v>12000</v>
      </c>
      <c r="I68" s="9"/>
      <c r="J68" s="10">
        <f t="shared" si="1"/>
        <v>8477272</v>
      </c>
      <c r="K68" s="6" t="s">
        <v>719</v>
      </c>
    </row>
    <row r="69" spans="1:11" x14ac:dyDescent="0.25">
      <c r="A69" s="4">
        <v>67</v>
      </c>
      <c r="B69" s="5">
        <v>45806</v>
      </c>
      <c r="C69" s="5">
        <v>45806</v>
      </c>
      <c r="D69" s="6" t="s">
        <v>133</v>
      </c>
      <c r="E69" s="6" t="s">
        <v>134</v>
      </c>
      <c r="F69" s="7" t="s">
        <v>658</v>
      </c>
      <c r="G69" s="8" t="s">
        <v>655</v>
      </c>
      <c r="H69" s="9"/>
      <c r="I69" s="9">
        <v>70800</v>
      </c>
      <c r="J69" s="10">
        <f t="shared" si="1"/>
        <v>8548072</v>
      </c>
      <c r="K69" s="6" t="s">
        <v>720</v>
      </c>
    </row>
    <row r="70" spans="1:11" x14ac:dyDescent="0.25">
      <c r="A70" s="4">
        <v>68</v>
      </c>
      <c r="B70" s="5">
        <v>45806</v>
      </c>
      <c r="C70" s="5">
        <v>45806</v>
      </c>
      <c r="D70" s="6" t="s">
        <v>135</v>
      </c>
      <c r="E70" s="6" t="s">
        <v>136</v>
      </c>
      <c r="F70" s="7" t="s">
        <v>658</v>
      </c>
      <c r="G70" s="8" t="s">
        <v>655</v>
      </c>
      <c r="H70" s="9"/>
      <c r="I70" s="9">
        <v>35400</v>
      </c>
      <c r="J70" s="10">
        <f t="shared" si="1"/>
        <v>8583472</v>
      </c>
      <c r="K70" s="6" t="s">
        <v>721</v>
      </c>
    </row>
    <row r="71" spans="1:11" x14ac:dyDescent="0.25">
      <c r="A71" s="4">
        <v>69</v>
      </c>
      <c r="B71" s="5">
        <v>45806</v>
      </c>
      <c r="C71" s="5">
        <v>45806</v>
      </c>
      <c r="D71" s="6" t="s">
        <v>137</v>
      </c>
      <c r="E71" s="6" t="s">
        <v>138</v>
      </c>
      <c r="F71" s="7" t="s">
        <v>658</v>
      </c>
      <c r="G71" s="11" t="s">
        <v>657</v>
      </c>
      <c r="H71" s="9">
        <v>500000</v>
      </c>
      <c r="I71" s="9"/>
      <c r="J71" s="10">
        <f t="shared" si="1"/>
        <v>8083472</v>
      </c>
      <c r="K71" s="6" t="s">
        <v>671</v>
      </c>
    </row>
    <row r="72" spans="1:11" x14ac:dyDescent="0.25">
      <c r="A72" s="4">
        <v>70</v>
      </c>
      <c r="B72" s="5">
        <v>45806</v>
      </c>
      <c r="C72" s="5">
        <v>45806</v>
      </c>
      <c r="D72" s="6" t="s">
        <v>139</v>
      </c>
      <c r="E72" s="6" t="s">
        <v>140</v>
      </c>
      <c r="F72" s="7" t="s">
        <v>659</v>
      </c>
      <c r="G72" s="8" t="s">
        <v>655</v>
      </c>
      <c r="H72" s="9"/>
      <c r="I72" s="9">
        <v>14160</v>
      </c>
      <c r="J72" s="10">
        <f t="shared" si="1"/>
        <v>8097632</v>
      </c>
      <c r="K72" s="6" t="s">
        <v>722</v>
      </c>
    </row>
    <row r="73" spans="1:11" x14ac:dyDescent="0.25">
      <c r="A73" s="26">
        <v>71</v>
      </c>
      <c r="B73" s="27">
        <v>45807</v>
      </c>
      <c r="C73" s="27">
        <v>45807</v>
      </c>
      <c r="D73" s="28" t="s">
        <v>141</v>
      </c>
      <c r="E73" s="28" t="s">
        <v>142</v>
      </c>
      <c r="F73" s="29" t="s">
        <v>659</v>
      </c>
      <c r="G73" s="30" t="s">
        <v>655</v>
      </c>
      <c r="H73" s="31"/>
      <c r="I73" s="31">
        <v>25000</v>
      </c>
      <c r="J73" s="32">
        <f t="shared" si="1"/>
        <v>8122632</v>
      </c>
      <c r="K73" s="28" t="s">
        <v>723</v>
      </c>
    </row>
    <row r="74" spans="1:11" x14ac:dyDescent="0.25">
      <c r="A74" s="4">
        <v>72</v>
      </c>
      <c r="B74" s="5">
        <v>45807</v>
      </c>
      <c r="C74" s="5">
        <v>45807</v>
      </c>
      <c r="D74" s="6" t="s">
        <v>143</v>
      </c>
      <c r="E74" s="6" t="s">
        <v>144</v>
      </c>
      <c r="F74" s="7" t="s">
        <v>659</v>
      </c>
      <c r="G74" s="11" t="s">
        <v>657</v>
      </c>
      <c r="H74" s="9">
        <v>12000</v>
      </c>
      <c r="I74" s="9"/>
      <c r="J74" s="10">
        <f t="shared" si="1"/>
        <v>8110632</v>
      </c>
      <c r="K74" s="6" t="s">
        <v>719</v>
      </c>
    </row>
    <row r="75" spans="1:11" x14ac:dyDescent="0.25">
      <c r="A75" s="4">
        <v>73</v>
      </c>
      <c r="B75" s="5">
        <v>45808</v>
      </c>
      <c r="C75" s="5">
        <v>45808</v>
      </c>
      <c r="D75" s="6" t="s">
        <v>145</v>
      </c>
      <c r="E75" s="6" t="s">
        <v>65</v>
      </c>
      <c r="F75" s="7" t="s">
        <v>654</v>
      </c>
      <c r="G75" s="8" t="s">
        <v>655</v>
      </c>
      <c r="H75" s="9"/>
      <c r="I75" s="9">
        <v>18500</v>
      </c>
      <c r="J75" s="10">
        <f t="shared" si="1"/>
        <v>8129132</v>
      </c>
      <c r="K75" s="6" t="s">
        <v>668</v>
      </c>
    </row>
    <row r="76" spans="1:11" x14ac:dyDescent="0.25">
      <c r="A76" s="4">
        <v>74</v>
      </c>
      <c r="B76" s="5">
        <v>45808</v>
      </c>
      <c r="C76" s="5">
        <v>45808</v>
      </c>
      <c r="D76" s="6" t="s">
        <v>146</v>
      </c>
      <c r="E76" s="6" t="s">
        <v>65</v>
      </c>
      <c r="F76" s="7" t="s">
        <v>654</v>
      </c>
      <c r="G76" s="8" t="s">
        <v>655</v>
      </c>
      <c r="H76" s="9"/>
      <c r="I76" s="9">
        <v>22000</v>
      </c>
      <c r="J76" s="10">
        <f t="shared" si="1"/>
        <v>8151132</v>
      </c>
      <c r="K76" s="6" t="s">
        <v>668</v>
      </c>
    </row>
    <row r="77" spans="1:11" x14ac:dyDescent="0.25">
      <c r="A77" s="4">
        <v>75</v>
      </c>
      <c r="B77" s="5">
        <v>45808</v>
      </c>
      <c r="C77" s="5">
        <v>45808</v>
      </c>
      <c r="D77" s="6" t="s">
        <v>147</v>
      </c>
      <c r="E77" s="6" t="s">
        <v>68</v>
      </c>
      <c r="F77" s="7" t="s">
        <v>656</v>
      </c>
      <c r="G77" s="11" t="s">
        <v>657</v>
      </c>
      <c r="H77" s="9">
        <v>2600</v>
      </c>
      <c r="I77" s="9"/>
      <c r="J77" s="10">
        <f t="shared" si="1"/>
        <v>8148532</v>
      </c>
      <c r="K77" s="6" t="s">
        <v>669</v>
      </c>
    </row>
    <row r="78" spans="1:11" x14ac:dyDescent="0.25">
      <c r="A78" s="4">
        <v>76</v>
      </c>
      <c r="B78" s="5">
        <v>45808</v>
      </c>
      <c r="C78" s="5">
        <v>45808</v>
      </c>
      <c r="D78" s="6" t="s">
        <v>148</v>
      </c>
      <c r="E78" s="6" t="s">
        <v>70</v>
      </c>
      <c r="F78" s="7" t="s">
        <v>656</v>
      </c>
      <c r="G78" s="11" t="s">
        <v>657</v>
      </c>
      <c r="H78" s="9">
        <v>468</v>
      </c>
      <c r="I78" s="9"/>
      <c r="J78" s="10">
        <f t="shared" si="1"/>
        <v>8148064</v>
      </c>
      <c r="K78" s="6" t="s">
        <v>669</v>
      </c>
    </row>
    <row r="79" spans="1:11" x14ac:dyDescent="0.25">
      <c r="A79" s="4">
        <v>77</v>
      </c>
      <c r="B79" s="5">
        <v>45808</v>
      </c>
      <c r="C79" s="5">
        <v>45808</v>
      </c>
      <c r="D79" s="6" t="s">
        <v>149</v>
      </c>
      <c r="E79" s="6" t="s">
        <v>72</v>
      </c>
      <c r="F79" s="7" t="s">
        <v>659</v>
      </c>
      <c r="G79" s="11" t="s">
        <v>657</v>
      </c>
      <c r="H79" s="9">
        <v>150000</v>
      </c>
      <c r="I79" s="9"/>
      <c r="J79" s="10">
        <f t="shared" si="1"/>
        <v>7998064</v>
      </c>
      <c r="K79" s="6" t="s">
        <v>675</v>
      </c>
    </row>
    <row r="80" spans="1:11" x14ac:dyDescent="0.25">
      <c r="A80" s="4">
        <v>78</v>
      </c>
      <c r="B80" s="5">
        <v>45813</v>
      </c>
      <c r="C80" s="5">
        <v>45813</v>
      </c>
      <c r="D80" s="6" t="s">
        <v>150</v>
      </c>
      <c r="E80" s="6" t="s">
        <v>151</v>
      </c>
      <c r="F80" s="7" t="s">
        <v>658</v>
      </c>
      <c r="G80" s="8" t="s">
        <v>655</v>
      </c>
      <c r="H80" s="9"/>
      <c r="I80" s="9">
        <v>413000</v>
      </c>
      <c r="J80" s="10">
        <f t="shared" si="1"/>
        <v>8411064</v>
      </c>
      <c r="K80" s="6" t="s">
        <v>724</v>
      </c>
    </row>
    <row r="81" spans="1:11" x14ac:dyDescent="0.25">
      <c r="A81" s="4">
        <v>79</v>
      </c>
      <c r="B81" s="5">
        <v>45813</v>
      </c>
      <c r="C81" s="5">
        <v>45813</v>
      </c>
      <c r="D81" s="6" t="s">
        <v>152</v>
      </c>
      <c r="E81" s="6" t="s">
        <v>153</v>
      </c>
      <c r="F81" s="7" t="s">
        <v>659</v>
      </c>
      <c r="G81" s="8" t="s">
        <v>655</v>
      </c>
      <c r="H81" s="9"/>
      <c r="I81" s="9">
        <v>9440</v>
      </c>
      <c r="J81" s="10">
        <f t="shared" si="1"/>
        <v>8420504</v>
      </c>
      <c r="K81" s="6" t="s">
        <v>725</v>
      </c>
    </row>
    <row r="82" spans="1:11" x14ac:dyDescent="0.25">
      <c r="A82" s="4">
        <v>80</v>
      </c>
      <c r="B82" s="5">
        <v>45815</v>
      </c>
      <c r="C82" s="5">
        <v>45815</v>
      </c>
      <c r="D82" s="6" t="s">
        <v>154</v>
      </c>
      <c r="E82" s="6" t="s">
        <v>155</v>
      </c>
      <c r="F82" s="7" t="s">
        <v>659</v>
      </c>
      <c r="G82" s="11" t="s">
        <v>657</v>
      </c>
      <c r="H82" s="9">
        <v>25000</v>
      </c>
      <c r="I82" s="9"/>
      <c r="J82" s="10">
        <f t="shared" si="1"/>
        <v>8395504</v>
      </c>
      <c r="K82" s="6" t="s">
        <v>719</v>
      </c>
    </row>
    <row r="83" spans="1:11" x14ac:dyDescent="0.25">
      <c r="A83" s="4">
        <v>81</v>
      </c>
      <c r="B83" s="5">
        <v>45816</v>
      </c>
      <c r="C83" s="5">
        <v>45816</v>
      </c>
      <c r="D83" s="6" t="s">
        <v>156</v>
      </c>
      <c r="E83" s="6" t="s">
        <v>157</v>
      </c>
      <c r="F83" s="7" t="s">
        <v>658</v>
      </c>
      <c r="G83" s="8" t="s">
        <v>655</v>
      </c>
      <c r="H83" s="9"/>
      <c r="I83" s="9">
        <v>75000</v>
      </c>
      <c r="J83" s="10">
        <f t="shared" si="1"/>
        <v>8470504</v>
      </c>
      <c r="K83" s="6" t="s">
        <v>726</v>
      </c>
    </row>
    <row r="84" spans="1:11" x14ac:dyDescent="0.25">
      <c r="A84" s="19">
        <v>82</v>
      </c>
      <c r="B84" s="20">
        <v>45817</v>
      </c>
      <c r="C84" s="20">
        <v>45817</v>
      </c>
      <c r="D84" s="21" t="s">
        <v>158</v>
      </c>
      <c r="E84" s="21" t="s">
        <v>159</v>
      </c>
      <c r="F84" s="22" t="s">
        <v>660</v>
      </c>
      <c r="G84" s="23" t="s">
        <v>655</v>
      </c>
      <c r="H84" s="24"/>
      <c r="I84" s="24">
        <v>30000</v>
      </c>
      <c r="J84" s="25">
        <f t="shared" si="1"/>
        <v>8500504</v>
      </c>
      <c r="K84" s="21" t="s">
        <v>727</v>
      </c>
    </row>
    <row r="85" spans="1:11" x14ac:dyDescent="0.25">
      <c r="A85" s="19">
        <v>83</v>
      </c>
      <c r="B85" s="20">
        <v>45817</v>
      </c>
      <c r="C85" s="20">
        <v>45817</v>
      </c>
      <c r="D85" s="21" t="s">
        <v>160</v>
      </c>
      <c r="E85" s="21" t="s">
        <v>161</v>
      </c>
      <c r="F85" s="22" t="s">
        <v>658</v>
      </c>
      <c r="G85" s="23" t="s">
        <v>655</v>
      </c>
      <c r="H85" s="24"/>
      <c r="I85" s="24">
        <v>200000</v>
      </c>
      <c r="J85" s="25">
        <f t="shared" si="1"/>
        <v>8700504</v>
      </c>
      <c r="K85" s="21" t="s">
        <v>728</v>
      </c>
    </row>
    <row r="86" spans="1:11" x14ac:dyDescent="0.25">
      <c r="A86" s="4">
        <v>84</v>
      </c>
      <c r="B86" s="5">
        <v>45818</v>
      </c>
      <c r="C86" s="5">
        <v>45818</v>
      </c>
      <c r="D86" s="6" t="s">
        <v>162</v>
      </c>
      <c r="E86" s="6" t="s">
        <v>163</v>
      </c>
      <c r="F86" s="7" t="s">
        <v>658</v>
      </c>
      <c r="G86" s="8" t="s">
        <v>655</v>
      </c>
      <c r="H86" s="9"/>
      <c r="I86" s="9">
        <v>35400</v>
      </c>
      <c r="J86" s="10">
        <f t="shared" si="1"/>
        <v>8735904</v>
      </c>
      <c r="K86" s="6" t="s">
        <v>729</v>
      </c>
    </row>
    <row r="87" spans="1:11" x14ac:dyDescent="0.25">
      <c r="A87" s="12">
        <v>85</v>
      </c>
      <c r="B87" s="13">
        <v>45819</v>
      </c>
      <c r="C87" s="13">
        <v>45819</v>
      </c>
      <c r="D87" s="14" t="s">
        <v>164</v>
      </c>
      <c r="E87" s="14" t="s">
        <v>59</v>
      </c>
      <c r="F87" s="15" t="s">
        <v>659</v>
      </c>
      <c r="G87" s="16" t="s">
        <v>655</v>
      </c>
      <c r="H87" s="17"/>
      <c r="I87" s="17">
        <v>648000</v>
      </c>
      <c r="J87" s="18">
        <f t="shared" si="1"/>
        <v>9383904</v>
      </c>
      <c r="K87" s="14" t="s">
        <v>730</v>
      </c>
    </row>
    <row r="88" spans="1:11" x14ac:dyDescent="0.25">
      <c r="A88" s="4">
        <v>86</v>
      </c>
      <c r="B88" s="5">
        <v>45820</v>
      </c>
      <c r="C88" s="5">
        <v>45820</v>
      </c>
      <c r="D88" s="6" t="s">
        <v>165</v>
      </c>
      <c r="E88" s="6" t="s">
        <v>166</v>
      </c>
      <c r="F88" s="7" t="s">
        <v>658</v>
      </c>
      <c r="G88" s="8" t="s">
        <v>655</v>
      </c>
      <c r="H88" s="9"/>
      <c r="I88" s="9">
        <v>354000</v>
      </c>
      <c r="J88" s="10">
        <f t="shared" si="1"/>
        <v>9737904</v>
      </c>
      <c r="K88" s="6" t="s">
        <v>713</v>
      </c>
    </row>
    <row r="89" spans="1:11" x14ac:dyDescent="0.25">
      <c r="A89" s="33">
        <v>87</v>
      </c>
      <c r="B89" s="34">
        <v>45820</v>
      </c>
      <c r="C89" s="34">
        <v>45820</v>
      </c>
      <c r="D89" s="35" t="s">
        <v>167</v>
      </c>
      <c r="E89" s="35" t="s">
        <v>168</v>
      </c>
      <c r="F89" s="36" t="s">
        <v>663</v>
      </c>
      <c r="G89" s="37" t="s">
        <v>655</v>
      </c>
      <c r="H89" s="38"/>
      <c r="I89" s="38">
        <v>150000</v>
      </c>
      <c r="J89" s="39">
        <f t="shared" si="1"/>
        <v>9887904</v>
      </c>
      <c r="K89" s="35" t="s">
        <v>731</v>
      </c>
    </row>
    <row r="90" spans="1:11" x14ac:dyDescent="0.25">
      <c r="A90" s="4">
        <v>88</v>
      </c>
      <c r="B90" s="5">
        <v>45821</v>
      </c>
      <c r="C90" s="5">
        <v>45821</v>
      </c>
      <c r="D90" s="6" t="s">
        <v>169</v>
      </c>
      <c r="E90" s="6" t="s">
        <v>170</v>
      </c>
      <c r="F90" s="7" t="s">
        <v>659</v>
      </c>
      <c r="G90" s="8" t="s">
        <v>655</v>
      </c>
      <c r="H90" s="9"/>
      <c r="I90" s="9">
        <v>413000</v>
      </c>
      <c r="J90" s="10">
        <f t="shared" si="1"/>
        <v>10300904</v>
      </c>
      <c r="K90" s="6" t="s">
        <v>732</v>
      </c>
    </row>
    <row r="91" spans="1:11" x14ac:dyDescent="0.25">
      <c r="A91" s="4">
        <v>89</v>
      </c>
      <c r="B91" s="5">
        <v>45822</v>
      </c>
      <c r="C91" s="5">
        <v>45822</v>
      </c>
      <c r="D91" s="6" t="s">
        <v>171</v>
      </c>
      <c r="E91" s="6" t="s">
        <v>172</v>
      </c>
      <c r="F91" s="7" t="s">
        <v>658</v>
      </c>
      <c r="G91" s="8" t="s">
        <v>655</v>
      </c>
      <c r="H91" s="9"/>
      <c r="I91" s="9">
        <v>118000</v>
      </c>
      <c r="J91" s="10">
        <f t="shared" si="1"/>
        <v>10418904</v>
      </c>
      <c r="K91" s="6" t="s">
        <v>717</v>
      </c>
    </row>
    <row r="92" spans="1:11" x14ac:dyDescent="0.25">
      <c r="A92" s="33">
        <v>90</v>
      </c>
      <c r="B92" s="34">
        <v>45822</v>
      </c>
      <c r="C92" s="34">
        <v>45822</v>
      </c>
      <c r="D92" s="35" t="s">
        <v>173</v>
      </c>
      <c r="E92" s="35" t="s">
        <v>174</v>
      </c>
      <c r="F92" s="36" t="s">
        <v>664</v>
      </c>
      <c r="G92" s="40" t="s">
        <v>657</v>
      </c>
      <c r="H92" s="38">
        <v>150000</v>
      </c>
      <c r="I92" s="38"/>
      <c r="J92" s="39">
        <f t="shared" si="1"/>
        <v>10268904</v>
      </c>
      <c r="K92" s="35" t="s">
        <v>731</v>
      </c>
    </row>
    <row r="93" spans="1:11" x14ac:dyDescent="0.25">
      <c r="A93" s="4">
        <v>91</v>
      </c>
      <c r="B93" s="5">
        <v>45822</v>
      </c>
      <c r="C93" s="5">
        <v>45822</v>
      </c>
      <c r="D93" s="6" t="s">
        <v>175</v>
      </c>
      <c r="E93" s="6" t="s">
        <v>176</v>
      </c>
      <c r="F93" s="7" t="s">
        <v>656</v>
      </c>
      <c r="G93" s="11" t="s">
        <v>657</v>
      </c>
      <c r="H93" s="9">
        <v>885</v>
      </c>
      <c r="I93" s="9"/>
      <c r="J93" s="10">
        <f t="shared" si="1"/>
        <v>10268019</v>
      </c>
      <c r="K93" s="6" t="s">
        <v>733</v>
      </c>
    </row>
    <row r="94" spans="1:11" x14ac:dyDescent="0.25">
      <c r="A94" s="12">
        <v>92</v>
      </c>
      <c r="B94" s="13">
        <v>45822</v>
      </c>
      <c r="C94" s="13">
        <v>45822</v>
      </c>
      <c r="D94" s="14" t="s">
        <v>177</v>
      </c>
      <c r="E94" s="14" t="s">
        <v>178</v>
      </c>
      <c r="F94" s="15" t="s">
        <v>659</v>
      </c>
      <c r="G94" s="16" t="s">
        <v>655</v>
      </c>
      <c r="H94" s="17"/>
      <c r="I94" s="17">
        <v>432000</v>
      </c>
      <c r="J94" s="18">
        <f t="shared" si="1"/>
        <v>10700019</v>
      </c>
      <c r="K94" s="14" t="s">
        <v>734</v>
      </c>
    </row>
    <row r="95" spans="1:11" x14ac:dyDescent="0.25">
      <c r="A95" s="4">
        <v>93</v>
      </c>
      <c r="B95" s="5">
        <v>45822</v>
      </c>
      <c r="C95" s="5">
        <v>45822</v>
      </c>
      <c r="D95" s="6" t="s">
        <v>179</v>
      </c>
      <c r="E95" s="6" t="s">
        <v>180</v>
      </c>
      <c r="F95" s="7" t="s">
        <v>659</v>
      </c>
      <c r="G95" s="11" t="s">
        <v>657</v>
      </c>
      <c r="H95" s="9">
        <v>85000</v>
      </c>
      <c r="I95" s="9"/>
      <c r="J95" s="10">
        <f t="shared" si="1"/>
        <v>10615019</v>
      </c>
      <c r="K95" s="6" t="s">
        <v>683</v>
      </c>
    </row>
    <row r="96" spans="1:11" x14ac:dyDescent="0.25">
      <c r="A96" s="4">
        <v>94</v>
      </c>
      <c r="B96" s="5">
        <v>45822</v>
      </c>
      <c r="C96" s="5">
        <v>45822</v>
      </c>
      <c r="D96" s="6" t="s">
        <v>181</v>
      </c>
      <c r="E96" s="6" t="s">
        <v>182</v>
      </c>
      <c r="F96" s="7" t="s">
        <v>659</v>
      </c>
      <c r="G96" s="11" t="s">
        <v>657</v>
      </c>
      <c r="H96" s="9">
        <v>18000</v>
      </c>
      <c r="I96" s="9"/>
      <c r="J96" s="10">
        <f t="shared" si="1"/>
        <v>10597019</v>
      </c>
      <c r="K96" s="6" t="s">
        <v>683</v>
      </c>
    </row>
    <row r="97" spans="1:11" x14ac:dyDescent="0.25">
      <c r="A97" s="4">
        <v>95</v>
      </c>
      <c r="B97" s="5">
        <v>45823</v>
      </c>
      <c r="C97" s="5">
        <v>45823</v>
      </c>
      <c r="D97" s="6" t="s">
        <v>183</v>
      </c>
      <c r="E97" s="6" t="s">
        <v>184</v>
      </c>
      <c r="F97" s="7" t="s">
        <v>659</v>
      </c>
      <c r="G97" s="11" t="s">
        <v>657</v>
      </c>
      <c r="H97" s="9">
        <v>200000</v>
      </c>
      <c r="I97" s="9"/>
      <c r="J97" s="10">
        <f t="shared" si="1"/>
        <v>10397019</v>
      </c>
      <c r="K97" s="6" t="s">
        <v>683</v>
      </c>
    </row>
    <row r="98" spans="1:11" x14ac:dyDescent="0.25">
      <c r="A98" s="4">
        <v>96</v>
      </c>
      <c r="B98" s="5">
        <v>45824</v>
      </c>
      <c r="C98" s="5">
        <v>45824</v>
      </c>
      <c r="D98" s="6" t="s">
        <v>185</v>
      </c>
      <c r="E98" s="6" t="s">
        <v>186</v>
      </c>
      <c r="F98" s="7" t="s">
        <v>659</v>
      </c>
      <c r="G98" s="8" t="s">
        <v>655</v>
      </c>
      <c r="H98" s="9"/>
      <c r="I98" s="9">
        <v>8850</v>
      </c>
      <c r="J98" s="10">
        <f t="shared" si="1"/>
        <v>10405869</v>
      </c>
      <c r="K98" s="6" t="s">
        <v>735</v>
      </c>
    </row>
    <row r="99" spans="1:11" x14ac:dyDescent="0.25">
      <c r="A99" s="4">
        <v>97</v>
      </c>
      <c r="B99" s="5">
        <v>45824</v>
      </c>
      <c r="C99" s="5">
        <v>45824</v>
      </c>
      <c r="D99" s="6" t="s">
        <v>187</v>
      </c>
      <c r="E99" s="6" t="s">
        <v>188</v>
      </c>
      <c r="F99" s="7" t="s">
        <v>658</v>
      </c>
      <c r="G99" s="11" t="s">
        <v>657</v>
      </c>
      <c r="H99" s="9">
        <v>1000000</v>
      </c>
      <c r="I99" s="9"/>
      <c r="J99" s="10">
        <f t="shared" si="1"/>
        <v>9405869</v>
      </c>
      <c r="K99" s="6" t="s">
        <v>671</v>
      </c>
    </row>
    <row r="100" spans="1:11" x14ac:dyDescent="0.25">
      <c r="A100" s="4">
        <v>98</v>
      </c>
      <c r="B100" s="5">
        <v>45827</v>
      </c>
      <c r="C100" s="5">
        <v>45827</v>
      </c>
      <c r="D100" s="6" t="s">
        <v>189</v>
      </c>
      <c r="E100" s="6" t="s">
        <v>43</v>
      </c>
      <c r="F100" s="7" t="s">
        <v>658</v>
      </c>
      <c r="G100" s="8" t="s">
        <v>655</v>
      </c>
      <c r="H100" s="9"/>
      <c r="I100" s="9">
        <v>59000</v>
      </c>
      <c r="J100" s="10">
        <f t="shared" si="1"/>
        <v>9464869</v>
      </c>
      <c r="K100" s="6" t="s">
        <v>700</v>
      </c>
    </row>
    <row r="101" spans="1:11" x14ac:dyDescent="0.25">
      <c r="A101" s="4">
        <v>99</v>
      </c>
      <c r="B101" s="5">
        <v>45827</v>
      </c>
      <c r="C101" s="5">
        <v>45827</v>
      </c>
      <c r="D101" s="6" t="s">
        <v>190</v>
      </c>
      <c r="E101" s="6" t="s">
        <v>191</v>
      </c>
      <c r="F101" s="7" t="s">
        <v>659</v>
      </c>
      <c r="G101" s="11" t="s">
        <v>657</v>
      </c>
      <c r="H101" s="9">
        <v>320000</v>
      </c>
      <c r="I101" s="9"/>
      <c r="J101" s="10">
        <f t="shared" si="1"/>
        <v>9144869</v>
      </c>
      <c r="K101" s="6" t="s">
        <v>683</v>
      </c>
    </row>
    <row r="102" spans="1:11" x14ac:dyDescent="0.25">
      <c r="A102" s="4">
        <v>100</v>
      </c>
      <c r="B102" s="5">
        <v>45830</v>
      </c>
      <c r="C102" s="5">
        <v>45830</v>
      </c>
      <c r="D102" s="6" t="s">
        <v>192</v>
      </c>
      <c r="E102" s="6" t="s">
        <v>193</v>
      </c>
      <c r="F102" s="7" t="s">
        <v>658</v>
      </c>
      <c r="G102" s="8" t="s">
        <v>655</v>
      </c>
      <c r="H102" s="9"/>
      <c r="I102" s="9">
        <v>50000</v>
      </c>
      <c r="J102" s="10">
        <f t="shared" si="1"/>
        <v>9194869</v>
      </c>
      <c r="K102" s="6" t="s">
        <v>736</v>
      </c>
    </row>
    <row r="103" spans="1:11" x14ac:dyDescent="0.25">
      <c r="A103" s="4">
        <v>101</v>
      </c>
      <c r="B103" s="5">
        <v>45831</v>
      </c>
      <c r="C103" s="5">
        <v>45831</v>
      </c>
      <c r="D103" s="6" t="s">
        <v>194</v>
      </c>
      <c r="E103" s="6" t="s">
        <v>195</v>
      </c>
      <c r="F103" s="7" t="s">
        <v>659</v>
      </c>
      <c r="G103" s="11" t="s">
        <v>657</v>
      </c>
      <c r="H103" s="9">
        <v>30000</v>
      </c>
      <c r="I103" s="9"/>
      <c r="J103" s="10">
        <f t="shared" si="1"/>
        <v>9164869</v>
      </c>
      <c r="K103" s="6" t="s">
        <v>675</v>
      </c>
    </row>
    <row r="104" spans="1:11" x14ac:dyDescent="0.25">
      <c r="A104" s="4">
        <v>102</v>
      </c>
      <c r="B104" s="5">
        <v>45835</v>
      </c>
      <c r="C104" s="5">
        <v>45835</v>
      </c>
      <c r="D104" s="6" t="s">
        <v>196</v>
      </c>
      <c r="E104" s="6" t="s">
        <v>197</v>
      </c>
      <c r="F104" s="7" t="s">
        <v>658</v>
      </c>
      <c r="G104" s="8" t="s">
        <v>655</v>
      </c>
      <c r="H104" s="9"/>
      <c r="I104" s="9">
        <v>35400</v>
      </c>
      <c r="J104" s="10">
        <f t="shared" si="1"/>
        <v>9200269</v>
      </c>
      <c r="K104" s="6" t="s">
        <v>737</v>
      </c>
    </row>
    <row r="105" spans="1:11" x14ac:dyDescent="0.25">
      <c r="A105" s="4">
        <v>103</v>
      </c>
      <c r="B105" s="5">
        <v>45835</v>
      </c>
      <c r="C105" s="5">
        <v>45835</v>
      </c>
      <c r="D105" s="6" t="s">
        <v>198</v>
      </c>
      <c r="E105" s="6" t="s">
        <v>199</v>
      </c>
      <c r="F105" s="7" t="s">
        <v>659</v>
      </c>
      <c r="G105" s="11" t="s">
        <v>657</v>
      </c>
      <c r="H105" s="9">
        <v>925000</v>
      </c>
      <c r="I105" s="9"/>
      <c r="J105" s="10">
        <f t="shared" si="1"/>
        <v>8275269</v>
      </c>
      <c r="K105" s="6" t="s">
        <v>688</v>
      </c>
    </row>
    <row r="106" spans="1:11" x14ac:dyDescent="0.25">
      <c r="A106" s="4">
        <v>104</v>
      </c>
      <c r="B106" s="5">
        <v>45836</v>
      </c>
      <c r="C106" s="5">
        <v>45836</v>
      </c>
      <c r="D106" s="6" t="s">
        <v>200</v>
      </c>
      <c r="E106" s="6" t="s">
        <v>201</v>
      </c>
      <c r="F106" s="7" t="s">
        <v>659</v>
      </c>
      <c r="G106" s="11" t="s">
        <v>657</v>
      </c>
      <c r="H106" s="9">
        <v>30000</v>
      </c>
      <c r="I106" s="9"/>
      <c r="J106" s="10">
        <f t="shared" si="1"/>
        <v>8245269</v>
      </c>
      <c r="K106" s="6" t="s">
        <v>738</v>
      </c>
    </row>
    <row r="107" spans="1:11" x14ac:dyDescent="0.25">
      <c r="A107" s="4">
        <v>105</v>
      </c>
      <c r="B107" s="5">
        <v>45836</v>
      </c>
      <c r="C107" s="5">
        <v>45836</v>
      </c>
      <c r="D107" s="6" t="s">
        <v>202</v>
      </c>
      <c r="E107" s="6" t="s">
        <v>203</v>
      </c>
      <c r="F107" s="7" t="s">
        <v>659</v>
      </c>
      <c r="G107" s="11" t="s">
        <v>657</v>
      </c>
      <c r="H107" s="9">
        <v>30000</v>
      </c>
      <c r="I107" s="9"/>
      <c r="J107" s="10">
        <f t="shared" si="1"/>
        <v>8215269</v>
      </c>
      <c r="K107" s="6" t="s">
        <v>675</v>
      </c>
    </row>
    <row r="108" spans="1:11" x14ac:dyDescent="0.25">
      <c r="A108" s="4">
        <v>106</v>
      </c>
      <c r="B108" s="5">
        <v>45837</v>
      </c>
      <c r="C108" s="5">
        <v>45837</v>
      </c>
      <c r="D108" s="6" t="s">
        <v>204</v>
      </c>
      <c r="E108" s="6" t="s">
        <v>205</v>
      </c>
      <c r="F108" s="7" t="s">
        <v>659</v>
      </c>
      <c r="G108" s="8" t="s">
        <v>655</v>
      </c>
      <c r="H108" s="9"/>
      <c r="I108" s="9">
        <v>3540</v>
      </c>
      <c r="J108" s="10">
        <f t="shared" si="1"/>
        <v>8218809</v>
      </c>
      <c r="K108" s="6" t="s">
        <v>739</v>
      </c>
    </row>
    <row r="109" spans="1:11" x14ac:dyDescent="0.25">
      <c r="A109" s="19">
        <v>107</v>
      </c>
      <c r="B109" s="20">
        <v>45837</v>
      </c>
      <c r="C109" s="20">
        <v>45837</v>
      </c>
      <c r="D109" s="21" t="s">
        <v>206</v>
      </c>
      <c r="E109" s="21" t="s">
        <v>207</v>
      </c>
      <c r="F109" s="22" t="s">
        <v>658</v>
      </c>
      <c r="G109" s="23" t="s">
        <v>655</v>
      </c>
      <c r="H109" s="24"/>
      <c r="I109" s="24">
        <v>200000</v>
      </c>
      <c r="J109" s="25">
        <f t="shared" si="1"/>
        <v>8418809</v>
      </c>
      <c r="K109" s="21" t="s">
        <v>740</v>
      </c>
    </row>
    <row r="110" spans="1:11" x14ac:dyDescent="0.25">
      <c r="A110" s="4">
        <v>108</v>
      </c>
      <c r="B110" s="5">
        <v>45838</v>
      </c>
      <c r="C110" s="5">
        <v>45838</v>
      </c>
      <c r="D110" s="6" t="s">
        <v>208</v>
      </c>
      <c r="E110" s="6" t="s">
        <v>209</v>
      </c>
      <c r="F110" s="7" t="s">
        <v>654</v>
      </c>
      <c r="G110" s="8" t="s">
        <v>655</v>
      </c>
      <c r="H110" s="9"/>
      <c r="I110" s="9">
        <v>18500</v>
      </c>
      <c r="J110" s="10">
        <f t="shared" si="1"/>
        <v>8437309</v>
      </c>
      <c r="K110" s="6" t="s">
        <v>668</v>
      </c>
    </row>
    <row r="111" spans="1:11" x14ac:dyDescent="0.25">
      <c r="A111" s="4">
        <v>109</v>
      </c>
      <c r="B111" s="5">
        <v>45838</v>
      </c>
      <c r="C111" s="5">
        <v>45838</v>
      </c>
      <c r="D111" s="6" t="s">
        <v>210</v>
      </c>
      <c r="E111" s="6" t="s">
        <v>209</v>
      </c>
      <c r="F111" s="7" t="s">
        <v>654</v>
      </c>
      <c r="G111" s="8" t="s">
        <v>655</v>
      </c>
      <c r="H111" s="9"/>
      <c r="I111" s="9">
        <v>22000</v>
      </c>
      <c r="J111" s="10">
        <f t="shared" si="1"/>
        <v>8459309</v>
      </c>
      <c r="K111" s="6" t="s">
        <v>668</v>
      </c>
    </row>
    <row r="112" spans="1:11" x14ac:dyDescent="0.25">
      <c r="A112" s="4">
        <v>110</v>
      </c>
      <c r="B112" s="5">
        <v>45838</v>
      </c>
      <c r="C112" s="5">
        <v>45838</v>
      </c>
      <c r="D112" s="6" t="s">
        <v>211</v>
      </c>
      <c r="E112" s="6" t="s">
        <v>212</v>
      </c>
      <c r="F112" s="7" t="s">
        <v>656</v>
      </c>
      <c r="G112" s="11" t="s">
        <v>657</v>
      </c>
      <c r="H112" s="9">
        <v>2200</v>
      </c>
      <c r="I112" s="9"/>
      <c r="J112" s="10">
        <f t="shared" si="1"/>
        <v>8457109</v>
      </c>
      <c r="K112" s="6" t="s">
        <v>669</v>
      </c>
    </row>
    <row r="113" spans="1:11" x14ac:dyDescent="0.25">
      <c r="A113" s="4">
        <v>111</v>
      </c>
      <c r="B113" s="5">
        <v>45838</v>
      </c>
      <c r="C113" s="5">
        <v>45838</v>
      </c>
      <c r="D113" s="6" t="s">
        <v>213</v>
      </c>
      <c r="E113" s="6" t="s">
        <v>214</v>
      </c>
      <c r="F113" s="7" t="s">
        <v>656</v>
      </c>
      <c r="G113" s="11" t="s">
        <v>657</v>
      </c>
      <c r="H113" s="9">
        <v>396</v>
      </c>
      <c r="I113" s="9"/>
      <c r="J113" s="10">
        <f t="shared" si="1"/>
        <v>8456713</v>
      </c>
      <c r="K113" s="6" t="s">
        <v>669</v>
      </c>
    </row>
    <row r="114" spans="1:11" x14ac:dyDescent="0.25">
      <c r="A114" s="4">
        <v>112</v>
      </c>
      <c r="B114" s="5">
        <v>45838</v>
      </c>
      <c r="C114" s="5">
        <v>45838</v>
      </c>
      <c r="D114" s="6" t="s">
        <v>215</v>
      </c>
      <c r="E114" s="6" t="s">
        <v>216</v>
      </c>
      <c r="F114" s="7" t="s">
        <v>659</v>
      </c>
      <c r="G114" s="11" t="s">
        <v>657</v>
      </c>
      <c r="H114" s="9">
        <v>150000</v>
      </c>
      <c r="I114" s="9"/>
      <c r="J114" s="10">
        <f t="shared" si="1"/>
        <v>8306713</v>
      </c>
      <c r="K114" s="6" t="s">
        <v>675</v>
      </c>
    </row>
    <row r="115" spans="1:11" x14ac:dyDescent="0.25">
      <c r="A115" s="4">
        <v>113</v>
      </c>
      <c r="B115" s="5">
        <v>45839</v>
      </c>
      <c r="C115" s="5">
        <v>45839</v>
      </c>
      <c r="D115" s="6" t="s">
        <v>217</v>
      </c>
      <c r="E115" s="6" t="s">
        <v>218</v>
      </c>
      <c r="F115" s="7" t="s">
        <v>659</v>
      </c>
      <c r="G115" s="8" t="s">
        <v>655</v>
      </c>
      <c r="H115" s="9"/>
      <c r="I115" s="9">
        <v>59000</v>
      </c>
      <c r="J115" s="10">
        <f t="shared" si="1"/>
        <v>8365713</v>
      </c>
      <c r="K115" s="6" t="s">
        <v>741</v>
      </c>
    </row>
    <row r="116" spans="1:11" x14ac:dyDescent="0.25">
      <c r="A116" s="12">
        <v>114</v>
      </c>
      <c r="B116" s="13">
        <v>45839</v>
      </c>
      <c r="C116" s="13">
        <v>45839</v>
      </c>
      <c r="D116" s="14" t="s">
        <v>219</v>
      </c>
      <c r="E116" s="14" t="s">
        <v>220</v>
      </c>
      <c r="F116" s="15" t="s">
        <v>659</v>
      </c>
      <c r="G116" s="16" t="s">
        <v>655</v>
      </c>
      <c r="H116" s="17"/>
      <c r="I116" s="17">
        <v>648000</v>
      </c>
      <c r="J116" s="18">
        <f t="shared" si="1"/>
        <v>9013713</v>
      </c>
      <c r="K116" s="14" t="s">
        <v>742</v>
      </c>
    </row>
    <row r="117" spans="1:11" x14ac:dyDescent="0.25">
      <c r="A117" s="4">
        <v>115</v>
      </c>
      <c r="B117" s="5">
        <v>45839</v>
      </c>
      <c r="C117" s="5">
        <v>45839</v>
      </c>
      <c r="D117" s="6" t="s">
        <v>221</v>
      </c>
      <c r="E117" s="6" t="s">
        <v>222</v>
      </c>
      <c r="F117" s="7" t="s">
        <v>661</v>
      </c>
      <c r="G117" s="11" t="s">
        <v>657</v>
      </c>
      <c r="H117" s="9">
        <v>18000</v>
      </c>
      <c r="I117" s="9"/>
      <c r="J117" s="10">
        <f t="shared" si="1"/>
        <v>8995713</v>
      </c>
      <c r="K117" s="6" t="s">
        <v>687</v>
      </c>
    </row>
    <row r="118" spans="1:11" x14ac:dyDescent="0.25">
      <c r="A118" s="4">
        <v>116</v>
      </c>
      <c r="B118" s="5">
        <v>45840</v>
      </c>
      <c r="C118" s="5">
        <v>45840</v>
      </c>
      <c r="D118" s="6" t="s">
        <v>223</v>
      </c>
      <c r="E118" s="6" t="s">
        <v>224</v>
      </c>
      <c r="F118" s="7" t="s">
        <v>659</v>
      </c>
      <c r="G118" s="8" t="s">
        <v>655</v>
      </c>
      <c r="H118" s="9"/>
      <c r="I118" s="9">
        <v>14160</v>
      </c>
      <c r="J118" s="10">
        <f t="shared" si="1"/>
        <v>9009873</v>
      </c>
      <c r="K118" s="6" t="s">
        <v>743</v>
      </c>
    </row>
    <row r="119" spans="1:11" x14ac:dyDescent="0.25">
      <c r="A119" s="4">
        <v>117</v>
      </c>
      <c r="B119" s="5">
        <v>45841</v>
      </c>
      <c r="C119" s="5">
        <v>45841</v>
      </c>
      <c r="D119" s="6" t="s">
        <v>225</v>
      </c>
      <c r="E119" s="6" t="s">
        <v>226</v>
      </c>
      <c r="F119" s="7" t="s">
        <v>658</v>
      </c>
      <c r="G119" s="8" t="s">
        <v>655</v>
      </c>
      <c r="H119" s="9"/>
      <c r="I119" s="9">
        <v>70800</v>
      </c>
      <c r="J119" s="10">
        <f t="shared" si="1"/>
        <v>9080673</v>
      </c>
      <c r="K119" s="6" t="s">
        <v>744</v>
      </c>
    </row>
    <row r="120" spans="1:11" x14ac:dyDescent="0.25">
      <c r="A120" s="4">
        <v>118</v>
      </c>
      <c r="B120" s="5">
        <v>45842</v>
      </c>
      <c r="C120" s="5">
        <v>45842</v>
      </c>
      <c r="D120" s="6" t="s">
        <v>227</v>
      </c>
      <c r="E120" s="6" t="s">
        <v>228</v>
      </c>
      <c r="F120" s="7" t="s">
        <v>658</v>
      </c>
      <c r="G120" s="8" t="s">
        <v>655</v>
      </c>
      <c r="H120" s="9"/>
      <c r="I120" s="9">
        <v>590000</v>
      </c>
      <c r="J120" s="10">
        <f t="shared" si="1"/>
        <v>9670673</v>
      </c>
      <c r="K120" s="6" t="s">
        <v>745</v>
      </c>
    </row>
    <row r="121" spans="1:11" x14ac:dyDescent="0.25">
      <c r="A121" s="19">
        <v>119</v>
      </c>
      <c r="B121" s="20">
        <v>45842</v>
      </c>
      <c r="C121" s="20">
        <v>45842</v>
      </c>
      <c r="D121" s="21" t="s">
        <v>229</v>
      </c>
      <c r="E121" s="21" t="s">
        <v>230</v>
      </c>
      <c r="F121" s="22" t="s">
        <v>660</v>
      </c>
      <c r="G121" s="23" t="s">
        <v>655</v>
      </c>
      <c r="H121" s="24"/>
      <c r="I121" s="24">
        <v>50000</v>
      </c>
      <c r="J121" s="25">
        <f t="shared" si="1"/>
        <v>9720673</v>
      </c>
      <c r="K121" s="21" t="s">
        <v>707</v>
      </c>
    </row>
    <row r="122" spans="1:11" x14ac:dyDescent="0.25">
      <c r="A122" s="4">
        <v>120</v>
      </c>
      <c r="B122" s="5">
        <v>45843</v>
      </c>
      <c r="C122" s="5">
        <v>45843</v>
      </c>
      <c r="D122" s="6" t="s">
        <v>231</v>
      </c>
      <c r="E122" s="6" t="s">
        <v>232</v>
      </c>
      <c r="F122" s="7" t="s">
        <v>658</v>
      </c>
      <c r="G122" s="8" t="s">
        <v>655</v>
      </c>
      <c r="H122" s="9"/>
      <c r="I122" s="9">
        <v>88500</v>
      </c>
      <c r="J122" s="10">
        <f t="shared" si="1"/>
        <v>9809173</v>
      </c>
      <c r="K122" s="6" t="s">
        <v>678</v>
      </c>
    </row>
    <row r="123" spans="1:11" x14ac:dyDescent="0.25">
      <c r="A123" s="4">
        <v>121</v>
      </c>
      <c r="B123" s="5">
        <v>45843</v>
      </c>
      <c r="C123" s="5">
        <v>45843</v>
      </c>
      <c r="D123" s="6" t="s">
        <v>233</v>
      </c>
      <c r="E123" s="6" t="s">
        <v>151</v>
      </c>
      <c r="F123" s="7" t="s">
        <v>659</v>
      </c>
      <c r="G123" s="8" t="s">
        <v>655</v>
      </c>
      <c r="H123" s="9"/>
      <c r="I123" s="9">
        <v>590000</v>
      </c>
      <c r="J123" s="10">
        <f t="shared" si="1"/>
        <v>10399173</v>
      </c>
      <c r="K123" s="6" t="s">
        <v>746</v>
      </c>
    </row>
    <row r="124" spans="1:11" x14ac:dyDescent="0.25">
      <c r="A124" s="4">
        <v>122</v>
      </c>
      <c r="B124" s="5">
        <v>45844</v>
      </c>
      <c r="C124" s="5">
        <v>45844</v>
      </c>
      <c r="D124" s="6" t="s">
        <v>234</v>
      </c>
      <c r="E124" s="6" t="s">
        <v>57</v>
      </c>
      <c r="F124" s="7" t="s">
        <v>658</v>
      </c>
      <c r="G124" s="8" t="s">
        <v>655</v>
      </c>
      <c r="H124" s="9"/>
      <c r="I124" s="9">
        <v>147500</v>
      </c>
      <c r="J124" s="10">
        <f t="shared" si="1"/>
        <v>10546673</v>
      </c>
      <c r="K124" s="6" t="s">
        <v>747</v>
      </c>
    </row>
    <row r="125" spans="1:11" x14ac:dyDescent="0.25">
      <c r="A125" s="12">
        <v>123</v>
      </c>
      <c r="B125" s="13">
        <v>45844</v>
      </c>
      <c r="C125" s="13">
        <v>45844</v>
      </c>
      <c r="D125" s="14" t="s">
        <v>235</v>
      </c>
      <c r="E125" s="14" t="s">
        <v>228</v>
      </c>
      <c r="F125" s="15" t="s">
        <v>658</v>
      </c>
      <c r="G125" s="16" t="s">
        <v>655</v>
      </c>
      <c r="H125" s="17"/>
      <c r="I125" s="17">
        <v>118000</v>
      </c>
      <c r="J125" s="18">
        <f t="shared" si="1"/>
        <v>10664673</v>
      </c>
      <c r="K125" s="14" t="s">
        <v>748</v>
      </c>
    </row>
    <row r="126" spans="1:11" x14ac:dyDescent="0.25">
      <c r="A126" s="12">
        <v>124</v>
      </c>
      <c r="B126" s="13">
        <v>45844</v>
      </c>
      <c r="C126" s="13">
        <v>45844</v>
      </c>
      <c r="D126" s="14" t="s">
        <v>236</v>
      </c>
      <c r="E126" s="14" t="s">
        <v>237</v>
      </c>
      <c r="F126" s="15" t="s">
        <v>659</v>
      </c>
      <c r="G126" s="16" t="s">
        <v>655</v>
      </c>
      <c r="H126" s="17"/>
      <c r="I126" s="17">
        <v>540000</v>
      </c>
      <c r="J126" s="18">
        <f t="shared" si="1"/>
        <v>11204673</v>
      </c>
      <c r="K126" s="14" t="s">
        <v>749</v>
      </c>
    </row>
    <row r="127" spans="1:11" x14ac:dyDescent="0.25">
      <c r="A127" s="12">
        <v>125</v>
      </c>
      <c r="B127" s="13">
        <v>45845</v>
      </c>
      <c r="C127" s="13">
        <v>45845</v>
      </c>
      <c r="D127" s="14" t="s">
        <v>238</v>
      </c>
      <c r="E127" s="14" t="s">
        <v>239</v>
      </c>
      <c r="F127" s="15" t="s">
        <v>659</v>
      </c>
      <c r="G127" s="16" t="s">
        <v>655</v>
      </c>
      <c r="H127" s="17"/>
      <c r="I127" s="17">
        <v>206500</v>
      </c>
      <c r="J127" s="18">
        <f t="shared" si="1"/>
        <v>11411173</v>
      </c>
      <c r="K127" s="14" t="s">
        <v>750</v>
      </c>
    </row>
    <row r="128" spans="1:11" x14ac:dyDescent="0.25">
      <c r="A128" s="4">
        <v>126</v>
      </c>
      <c r="B128" s="5">
        <v>45845</v>
      </c>
      <c r="C128" s="5">
        <v>45845</v>
      </c>
      <c r="D128" s="6" t="s">
        <v>240</v>
      </c>
      <c r="E128" s="6" t="s">
        <v>241</v>
      </c>
      <c r="F128" s="7" t="s">
        <v>659</v>
      </c>
      <c r="G128" s="11" t="s">
        <v>657</v>
      </c>
      <c r="H128" s="9">
        <v>220000</v>
      </c>
      <c r="I128" s="9"/>
      <c r="J128" s="10">
        <f t="shared" si="1"/>
        <v>11191173</v>
      </c>
      <c r="K128" s="6" t="s">
        <v>683</v>
      </c>
    </row>
    <row r="129" spans="1:11" x14ac:dyDescent="0.25">
      <c r="A129" s="4">
        <v>127</v>
      </c>
      <c r="B129" s="5">
        <v>45848</v>
      </c>
      <c r="C129" s="5">
        <v>45848</v>
      </c>
      <c r="D129" s="6" t="s">
        <v>242</v>
      </c>
      <c r="E129" s="6" t="s">
        <v>243</v>
      </c>
      <c r="F129" s="7" t="s">
        <v>659</v>
      </c>
      <c r="G129" s="8" t="s">
        <v>655</v>
      </c>
      <c r="H129" s="9"/>
      <c r="I129" s="9">
        <v>212400</v>
      </c>
      <c r="J129" s="10">
        <f t="shared" si="1"/>
        <v>11403573</v>
      </c>
      <c r="K129" s="6" t="s">
        <v>751</v>
      </c>
    </row>
    <row r="130" spans="1:11" x14ac:dyDescent="0.25">
      <c r="A130" s="26">
        <v>128</v>
      </c>
      <c r="B130" s="27">
        <v>45852</v>
      </c>
      <c r="C130" s="27">
        <v>45852</v>
      </c>
      <c r="D130" s="28" t="s">
        <v>244</v>
      </c>
      <c r="E130" s="28" t="s">
        <v>245</v>
      </c>
      <c r="F130" s="29" t="s">
        <v>659</v>
      </c>
      <c r="G130" s="30" t="s">
        <v>655</v>
      </c>
      <c r="H130" s="31"/>
      <c r="I130" s="31">
        <v>75000</v>
      </c>
      <c r="J130" s="32">
        <f t="shared" si="1"/>
        <v>11478573</v>
      </c>
      <c r="K130" s="28" t="s">
        <v>723</v>
      </c>
    </row>
    <row r="131" spans="1:11" x14ac:dyDescent="0.25">
      <c r="A131" s="4">
        <v>129</v>
      </c>
      <c r="B131" s="5">
        <v>45852</v>
      </c>
      <c r="C131" s="5">
        <v>45852</v>
      </c>
      <c r="D131" s="6" t="s">
        <v>246</v>
      </c>
      <c r="E131" s="6" t="s">
        <v>247</v>
      </c>
      <c r="F131" s="7" t="s">
        <v>659</v>
      </c>
      <c r="G131" s="11" t="s">
        <v>657</v>
      </c>
      <c r="H131" s="9">
        <v>85000</v>
      </c>
      <c r="I131" s="9"/>
      <c r="J131" s="10">
        <f t="shared" ref="J131:J194" si="2">J130+I131-H131</f>
        <v>11393573</v>
      </c>
      <c r="K131" s="6" t="s">
        <v>683</v>
      </c>
    </row>
    <row r="132" spans="1:11" x14ac:dyDescent="0.25">
      <c r="A132" s="4">
        <v>130</v>
      </c>
      <c r="B132" s="5">
        <v>45852</v>
      </c>
      <c r="C132" s="5">
        <v>45852</v>
      </c>
      <c r="D132" s="6" t="s">
        <v>248</v>
      </c>
      <c r="E132" s="6" t="s">
        <v>249</v>
      </c>
      <c r="F132" s="7" t="s">
        <v>659</v>
      </c>
      <c r="G132" s="11" t="s">
        <v>657</v>
      </c>
      <c r="H132" s="9">
        <v>18000</v>
      </c>
      <c r="I132" s="9"/>
      <c r="J132" s="10">
        <f t="shared" si="2"/>
        <v>11375573</v>
      </c>
      <c r="K132" s="6" t="s">
        <v>683</v>
      </c>
    </row>
    <row r="133" spans="1:11" x14ac:dyDescent="0.25">
      <c r="A133" s="19">
        <v>131</v>
      </c>
      <c r="B133" s="20">
        <v>45852</v>
      </c>
      <c r="C133" s="20">
        <v>45852</v>
      </c>
      <c r="D133" s="21" t="s">
        <v>250</v>
      </c>
      <c r="E133" s="21" t="s">
        <v>251</v>
      </c>
      <c r="F133" s="22" t="s">
        <v>658</v>
      </c>
      <c r="G133" s="23" t="s">
        <v>655</v>
      </c>
      <c r="H133" s="24"/>
      <c r="I133" s="24">
        <v>100000</v>
      </c>
      <c r="J133" s="25">
        <f t="shared" si="2"/>
        <v>11475573</v>
      </c>
      <c r="K133" s="21" t="s">
        <v>752</v>
      </c>
    </row>
    <row r="134" spans="1:11" x14ac:dyDescent="0.25">
      <c r="A134" s="12">
        <v>132</v>
      </c>
      <c r="B134" s="13">
        <v>45854</v>
      </c>
      <c r="C134" s="13">
        <v>45854</v>
      </c>
      <c r="D134" s="14" t="s">
        <v>252</v>
      </c>
      <c r="E134" s="14" t="s">
        <v>253</v>
      </c>
      <c r="F134" s="15" t="s">
        <v>658</v>
      </c>
      <c r="G134" s="16" t="s">
        <v>655</v>
      </c>
      <c r="H134" s="17"/>
      <c r="I134" s="17">
        <v>29500</v>
      </c>
      <c r="J134" s="18">
        <f t="shared" si="2"/>
        <v>11505073</v>
      </c>
      <c r="K134" s="14" t="s">
        <v>753</v>
      </c>
    </row>
    <row r="135" spans="1:11" x14ac:dyDescent="0.25">
      <c r="A135" s="4">
        <v>133</v>
      </c>
      <c r="B135" s="5">
        <v>45855</v>
      </c>
      <c r="C135" s="5">
        <v>45855</v>
      </c>
      <c r="D135" s="6" t="s">
        <v>254</v>
      </c>
      <c r="E135" s="6" t="s">
        <v>243</v>
      </c>
      <c r="F135" s="7" t="s">
        <v>659</v>
      </c>
      <c r="G135" s="8" t="s">
        <v>655</v>
      </c>
      <c r="H135" s="9"/>
      <c r="I135" s="9">
        <v>413000</v>
      </c>
      <c r="J135" s="10">
        <f t="shared" si="2"/>
        <v>11918073</v>
      </c>
      <c r="K135" s="6" t="s">
        <v>754</v>
      </c>
    </row>
    <row r="136" spans="1:11" x14ac:dyDescent="0.25">
      <c r="A136" s="4">
        <v>134</v>
      </c>
      <c r="B136" s="5">
        <v>45857</v>
      </c>
      <c r="C136" s="5">
        <v>45857</v>
      </c>
      <c r="D136" s="6" t="s">
        <v>255</v>
      </c>
      <c r="E136" s="6" t="s">
        <v>243</v>
      </c>
      <c r="F136" s="7" t="s">
        <v>662</v>
      </c>
      <c r="G136" s="8" t="s">
        <v>655</v>
      </c>
      <c r="H136" s="9"/>
      <c r="I136" s="9">
        <v>590000</v>
      </c>
      <c r="J136" s="10">
        <f t="shared" si="2"/>
        <v>12508073</v>
      </c>
      <c r="K136" s="6" t="s">
        <v>755</v>
      </c>
    </row>
    <row r="137" spans="1:11" x14ac:dyDescent="0.25">
      <c r="A137" s="4">
        <v>135</v>
      </c>
      <c r="B137" s="5">
        <v>45857</v>
      </c>
      <c r="C137" s="5">
        <v>45857</v>
      </c>
      <c r="D137" s="6" t="s">
        <v>256</v>
      </c>
      <c r="E137" s="6" t="s">
        <v>257</v>
      </c>
      <c r="F137" s="7" t="s">
        <v>659</v>
      </c>
      <c r="G137" s="11" t="s">
        <v>657</v>
      </c>
      <c r="H137" s="9">
        <v>400000</v>
      </c>
      <c r="I137" s="9"/>
      <c r="J137" s="10">
        <f t="shared" si="2"/>
        <v>12108073</v>
      </c>
      <c r="K137" s="6" t="s">
        <v>683</v>
      </c>
    </row>
    <row r="138" spans="1:11" x14ac:dyDescent="0.25">
      <c r="A138" s="4">
        <v>136</v>
      </c>
      <c r="B138" s="5">
        <v>45861</v>
      </c>
      <c r="C138" s="5">
        <v>45861</v>
      </c>
      <c r="D138" s="6" t="s">
        <v>258</v>
      </c>
      <c r="E138" s="6" t="s">
        <v>151</v>
      </c>
      <c r="F138" s="7" t="s">
        <v>658</v>
      </c>
      <c r="G138" s="8" t="s">
        <v>655</v>
      </c>
      <c r="H138" s="9"/>
      <c r="I138" s="9">
        <v>147500</v>
      </c>
      <c r="J138" s="10">
        <f t="shared" si="2"/>
        <v>12255573</v>
      </c>
      <c r="K138" s="6" t="s">
        <v>756</v>
      </c>
    </row>
    <row r="139" spans="1:11" x14ac:dyDescent="0.25">
      <c r="A139" s="4">
        <v>137</v>
      </c>
      <c r="B139" s="5">
        <v>45861</v>
      </c>
      <c r="C139" s="5">
        <v>45861</v>
      </c>
      <c r="D139" s="6" t="s">
        <v>259</v>
      </c>
      <c r="E139" s="6" t="s">
        <v>260</v>
      </c>
      <c r="F139" s="7" t="s">
        <v>659</v>
      </c>
      <c r="G139" s="8" t="s">
        <v>655</v>
      </c>
      <c r="H139" s="9"/>
      <c r="I139" s="9">
        <v>88500</v>
      </c>
      <c r="J139" s="10">
        <f t="shared" si="2"/>
        <v>12344073</v>
      </c>
      <c r="K139" s="6" t="s">
        <v>757</v>
      </c>
    </row>
    <row r="140" spans="1:11" x14ac:dyDescent="0.25">
      <c r="A140" s="4">
        <v>138</v>
      </c>
      <c r="B140" s="5">
        <v>45861</v>
      </c>
      <c r="C140" s="5">
        <v>45861</v>
      </c>
      <c r="D140" s="6" t="s">
        <v>261</v>
      </c>
      <c r="E140" s="6" t="s">
        <v>262</v>
      </c>
      <c r="F140" s="7" t="s">
        <v>659</v>
      </c>
      <c r="G140" s="8" t="s">
        <v>655</v>
      </c>
      <c r="H140" s="9"/>
      <c r="I140" s="9">
        <v>14160</v>
      </c>
      <c r="J140" s="10">
        <f t="shared" si="2"/>
        <v>12358233</v>
      </c>
      <c r="K140" s="6" t="s">
        <v>758</v>
      </c>
    </row>
    <row r="141" spans="1:11" x14ac:dyDescent="0.25">
      <c r="A141" s="4">
        <v>139</v>
      </c>
      <c r="B141" s="5">
        <v>45862</v>
      </c>
      <c r="C141" s="5">
        <v>45862</v>
      </c>
      <c r="D141" s="6" t="s">
        <v>263</v>
      </c>
      <c r="E141" s="6" t="s">
        <v>264</v>
      </c>
      <c r="F141" s="7" t="s">
        <v>659</v>
      </c>
      <c r="G141" s="11" t="s">
        <v>657</v>
      </c>
      <c r="H141" s="9">
        <v>30000</v>
      </c>
      <c r="I141" s="9"/>
      <c r="J141" s="10">
        <f t="shared" si="2"/>
        <v>12328233</v>
      </c>
      <c r="K141" s="6" t="s">
        <v>759</v>
      </c>
    </row>
    <row r="142" spans="1:11" x14ac:dyDescent="0.25">
      <c r="A142" s="4">
        <v>140</v>
      </c>
      <c r="B142" s="5">
        <v>45863</v>
      </c>
      <c r="C142" s="5">
        <v>45863</v>
      </c>
      <c r="D142" s="6" t="s">
        <v>265</v>
      </c>
      <c r="E142" s="6" t="s">
        <v>232</v>
      </c>
      <c r="F142" s="7" t="s">
        <v>662</v>
      </c>
      <c r="G142" s="8" t="s">
        <v>655</v>
      </c>
      <c r="H142" s="9"/>
      <c r="I142" s="9">
        <v>236000</v>
      </c>
      <c r="J142" s="10">
        <f t="shared" si="2"/>
        <v>12564233</v>
      </c>
      <c r="K142" s="6" t="s">
        <v>760</v>
      </c>
    </row>
    <row r="143" spans="1:11" x14ac:dyDescent="0.25">
      <c r="A143" s="12">
        <v>141</v>
      </c>
      <c r="B143" s="13">
        <v>45863</v>
      </c>
      <c r="C143" s="13">
        <v>45863</v>
      </c>
      <c r="D143" s="14" t="s">
        <v>266</v>
      </c>
      <c r="E143" s="14" t="s">
        <v>267</v>
      </c>
      <c r="F143" s="15" t="s">
        <v>658</v>
      </c>
      <c r="G143" s="16" t="s">
        <v>655</v>
      </c>
      <c r="H143" s="17"/>
      <c r="I143" s="17">
        <v>88500</v>
      </c>
      <c r="J143" s="18">
        <f t="shared" si="2"/>
        <v>12652733</v>
      </c>
      <c r="K143" s="14" t="s">
        <v>761</v>
      </c>
    </row>
    <row r="144" spans="1:11" x14ac:dyDescent="0.25">
      <c r="A144" s="33">
        <v>142</v>
      </c>
      <c r="B144" s="34">
        <v>45865</v>
      </c>
      <c r="C144" s="34">
        <v>45865</v>
      </c>
      <c r="D144" s="35" t="s">
        <v>268</v>
      </c>
      <c r="E144" s="35" t="s">
        <v>269</v>
      </c>
      <c r="F144" s="36" t="s">
        <v>663</v>
      </c>
      <c r="G144" s="37" t="s">
        <v>655</v>
      </c>
      <c r="H144" s="38"/>
      <c r="I144" s="38">
        <v>100000</v>
      </c>
      <c r="J144" s="39">
        <f t="shared" si="2"/>
        <v>12752733</v>
      </c>
      <c r="K144" s="35" t="s">
        <v>762</v>
      </c>
    </row>
    <row r="145" spans="1:11" x14ac:dyDescent="0.25">
      <c r="A145" s="4">
        <v>143</v>
      </c>
      <c r="B145" s="5">
        <v>45865</v>
      </c>
      <c r="C145" s="5">
        <v>45865</v>
      </c>
      <c r="D145" s="6" t="s">
        <v>270</v>
      </c>
      <c r="E145" s="6" t="s">
        <v>271</v>
      </c>
      <c r="F145" s="7" t="s">
        <v>659</v>
      </c>
      <c r="G145" s="11" t="s">
        <v>657</v>
      </c>
      <c r="H145" s="9">
        <v>900000</v>
      </c>
      <c r="I145" s="9"/>
      <c r="J145" s="10">
        <f t="shared" si="2"/>
        <v>11852733</v>
      </c>
      <c r="K145" s="6" t="s">
        <v>688</v>
      </c>
    </row>
    <row r="146" spans="1:11" x14ac:dyDescent="0.25">
      <c r="A146" s="4">
        <v>144</v>
      </c>
      <c r="B146" s="5">
        <v>45865</v>
      </c>
      <c r="C146" s="5">
        <v>45865</v>
      </c>
      <c r="D146" s="6" t="s">
        <v>272</v>
      </c>
      <c r="E146" s="6" t="s">
        <v>273</v>
      </c>
      <c r="F146" s="7" t="s">
        <v>659</v>
      </c>
      <c r="G146" s="11" t="s">
        <v>657</v>
      </c>
      <c r="H146" s="9">
        <v>12000</v>
      </c>
      <c r="I146" s="9"/>
      <c r="J146" s="10">
        <f t="shared" si="2"/>
        <v>11840733</v>
      </c>
      <c r="K146" s="6" t="s">
        <v>719</v>
      </c>
    </row>
    <row r="147" spans="1:11" x14ac:dyDescent="0.25">
      <c r="A147" s="33">
        <v>145</v>
      </c>
      <c r="B147" s="34">
        <v>45867</v>
      </c>
      <c r="C147" s="34">
        <v>45867</v>
      </c>
      <c r="D147" s="35" t="s">
        <v>274</v>
      </c>
      <c r="E147" s="35" t="s">
        <v>275</v>
      </c>
      <c r="F147" s="36" t="s">
        <v>664</v>
      </c>
      <c r="G147" s="40" t="s">
        <v>657</v>
      </c>
      <c r="H147" s="38">
        <v>100000</v>
      </c>
      <c r="I147" s="38"/>
      <c r="J147" s="39">
        <f t="shared" si="2"/>
        <v>11740733</v>
      </c>
      <c r="K147" s="35" t="s">
        <v>762</v>
      </c>
    </row>
    <row r="148" spans="1:11" x14ac:dyDescent="0.25">
      <c r="A148" s="4">
        <v>146</v>
      </c>
      <c r="B148" s="5">
        <v>45867</v>
      </c>
      <c r="C148" s="5">
        <v>45867</v>
      </c>
      <c r="D148" s="6" t="s">
        <v>276</v>
      </c>
      <c r="E148" s="6" t="s">
        <v>277</v>
      </c>
      <c r="F148" s="7" t="s">
        <v>656</v>
      </c>
      <c r="G148" s="11" t="s">
        <v>657</v>
      </c>
      <c r="H148" s="9">
        <v>2360</v>
      </c>
      <c r="I148" s="9"/>
      <c r="J148" s="10">
        <f t="shared" si="2"/>
        <v>11738373</v>
      </c>
      <c r="K148" s="6" t="s">
        <v>763</v>
      </c>
    </row>
    <row r="149" spans="1:11" x14ac:dyDescent="0.25">
      <c r="A149" s="4">
        <v>147</v>
      </c>
      <c r="B149" s="5">
        <v>45868</v>
      </c>
      <c r="C149" s="5">
        <v>45868</v>
      </c>
      <c r="D149" s="6" t="s">
        <v>278</v>
      </c>
      <c r="E149" s="6" t="s">
        <v>279</v>
      </c>
      <c r="F149" s="7" t="s">
        <v>654</v>
      </c>
      <c r="G149" s="8" t="s">
        <v>655</v>
      </c>
      <c r="H149" s="9"/>
      <c r="I149" s="9">
        <v>18500</v>
      </c>
      <c r="J149" s="10">
        <f t="shared" si="2"/>
        <v>11756873</v>
      </c>
      <c r="K149" s="6" t="s">
        <v>668</v>
      </c>
    </row>
    <row r="150" spans="1:11" x14ac:dyDescent="0.25">
      <c r="A150" s="4">
        <v>148</v>
      </c>
      <c r="B150" s="5">
        <v>45868</v>
      </c>
      <c r="C150" s="5">
        <v>45868</v>
      </c>
      <c r="D150" s="6" t="s">
        <v>280</v>
      </c>
      <c r="E150" s="6" t="s">
        <v>279</v>
      </c>
      <c r="F150" s="7" t="s">
        <v>654</v>
      </c>
      <c r="G150" s="8" t="s">
        <v>655</v>
      </c>
      <c r="H150" s="9"/>
      <c r="I150" s="9">
        <v>22000</v>
      </c>
      <c r="J150" s="10">
        <f t="shared" si="2"/>
        <v>11778873</v>
      </c>
      <c r="K150" s="6" t="s">
        <v>668</v>
      </c>
    </row>
    <row r="151" spans="1:11" x14ac:dyDescent="0.25">
      <c r="A151" s="4">
        <v>149</v>
      </c>
      <c r="B151" s="5">
        <v>45868</v>
      </c>
      <c r="C151" s="5">
        <v>45868</v>
      </c>
      <c r="D151" s="6" t="s">
        <v>281</v>
      </c>
      <c r="E151" s="6" t="s">
        <v>282</v>
      </c>
      <c r="F151" s="7" t="s">
        <v>656</v>
      </c>
      <c r="G151" s="11" t="s">
        <v>657</v>
      </c>
      <c r="H151" s="9">
        <v>2400</v>
      </c>
      <c r="I151" s="9"/>
      <c r="J151" s="10">
        <f t="shared" si="2"/>
        <v>11776473</v>
      </c>
      <c r="K151" s="6" t="s">
        <v>669</v>
      </c>
    </row>
    <row r="152" spans="1:11" x14ac:dyDescent="0.25">
      <c r="A152" s="4">
        <v>150</v>
      </c>
      <c r="B152" s="5">
        <v>45868</v>
      </c>
      <c r="C152" s="5">
        <v>45868</v>
      </c>
      <c r="D152" s="6" t="s">
        <v>283</v>
      </c>
      <c r="E152" s="6" t="s">
        <v>284</v>
      </c>
      <c r="F152" s="7" t="s">
        <v>656</v>
      </c>
      <c r="G152" s="11" t="s">
        <v>657</v>
      </c>
      <c r="H152" s="9">
        <v>432</v>
      </c>
      <c r="I152" s="9"/>
      <c r="J152" s="10">
        <f t="shared" si="2"/>
        <v>11776041</v>
      </c>
      <c r="K152" s="6" t="s">
        <v>669</v>
      </c>
    </row>
    <row r="153" spans="1:11" x14ac:dyDescent="0.25">
      <c r="A153" s="4">
        <v>151</v>
      </c>
      <c r="B153" s="5">
        <v>45868</v>
      </c>
      <c r="C153" s="5">
        <v>45868</v>
      </c>
      <c r="D153" s="6" t="s">
        <v>285</v>
      </c>
      <c r="E153" s="6" t="s">
        <v>286</v>
      </c>
      <c r="F153" s="7" t="s">
        <v>659</v>
      </c>
      <c r="G153" s="11" t="s">
        <v>657</v>
      </c>
      <c r="H153" s="9">
        <v>150000</v>
      </c>
      <c r="I153" s="9"/>
      <c r="J153" s="10">
        <f t="shared" si="2"/>
        <v>11626041</v>
      </c>
      <c r="K153" s="6" t="s">
        <v>675</v>
      </c>
    </row>
    <row r="154" spans="1:11" x14ac:dyDescent="0.25">
      <c r="A154" s="4">
        <v>152</v>
      </c>
      <c r="B154" s="5">
        <v>45869</v>
      </c>
      <c r="C154" s="5">
        <v>45869</v>
      </c>
      <c r="D154" s="6" t="s">
        <v>287</v>
      </c>
      <c r="E154" s="6" t="s">
        <v>288</v>
      </c>
      <c r="F154" s="7" t="s">
        <v>659</v>
      </c>
      <c r="G154" s="8" t="s">
        <v>655</v>
      </c>
      <c r="H154" s="9"/>
      <c r="I154" s="9">
        <v>118000</v>
      </c>
      <c r="J154" s="10">
        <f t="shared" si="2"/>
        <v>11744041</v>
      </c>
      <c r="K154" s="6" t="s">
        <v>764</v>
      </c>
    </row>
    <row r="155" spans="1:11" x14ac:dyDescent="0.25">
      <c r="A155" s="19">
        <v>153</v>
      </c>
      <c r="B155" s="20">
        <v>45869</v>
      </c>
      <c r="C155" s="20">
        <v>45869</v>
      </c>
      <c r="D155" s="21" t="s">
        <v>289</v>
      </c>
      <c r="E155" s="21" t="s">
        <v>290</v>
      </c>
      <c r="F155" s="22" t="s">
        <v>658</v>
      </c>
      <c r="G155" s="23" t="s">
        <v>655</v>
      </c>
      <c r="H155" s="24"/>
      <c r="I155" s="24">
        <v>150000</v>
      </c>
      <c r="J155" s="25">
        <f t="shared" si="2"/>
        <v>11894041</v>
      </c>
      <c r="K155" s="21" t="s">
        <v>765</v>
      </c>
    </row>
    <row r="156" spans="1:11" x14ac:dyDescent="0.25">
      <c r="A156" s="4">
        <v>154</v>
      </c>
      <c r="B156" s="5">
        <v>45871</v>
      </c>
      <c r="C156" s="5">
        <v>45871</v>
      </c>
      <c r="D156" s="6" t="s">
        <v>291</v>
      </c>
      <c r="E156" s="6" t="s">
        <v>292</v>
      </c>
      <c r="F156" s="7" t="s">
        <v>658</v>
      </c>
      <c r="G156" s="8" t="s">
        <v>655</v>
      </c>
      <c r="H156" s="9"/>
      <c r="I156" s="9">
        <v>2000000</v>
      </c>
      <c r="J156" s="10">
        <f t="shared" si="2"/>
        <v>13894041</v>
      </c>
      <c r="K156" s="6" t="s">
        <v>671</v>
      </c>
    </row>
    <row r="157" spans="1:11" x14ac:dyDescent="0.25">
      <c r="A157" s="4">
        <v>155</v>
      </c>
      <c r="B157" s="5">
        <v>45873</v>
      </c>
      <c r="C157" s="5">
        <v>45873</v>
      </c>
      <c r="D157" s="6" t="s">
        <v>293</v>
      </c>
      <c r="E157" s="6" t="s">
        <v>294</v>
      </c>
      <c r="F157" s="7" t="s">
        <v>659</v>
      </c>
      <c r="G157" s="11" t="s">
        <v>657</v>
      </c>
      <c r="H157" s="9">
        <v>20000</v>
      </c>
      <c r="I157" s="9"/>
      <c r="J157" s="10">
        <f t="shared" si="2"/>
        <v>13874041</v>
      </c>
      <c r="K157" s="6" t="s">
        <v>719</v>
      </c>
    </row>
    <row r="158" spans="1:11" x14ac:dyDescent="0.25">
      <c r="A158" s="33">
        <v>156</v>
      </c>
      <c r="B158" s="34">
        <v>45874</v>
      </c>
      <c r="C158" s="34">
        <v>45874</v>
      </c>
      <c r="D158" s="35" t="s">
        <v>295</v>
      </c>
      <c r="E158" s="35" t="s">
        <v>296</v>
      </c>
      <c r="F158" s="36" t="s">
        <v>663</v>
      </c>
      <c r="G158" s="37" t="s">
        <v>655</v>
      </c>
      <c r="H158" s="38"/>
      <c r="I158" s="38">
        <v>150000</v>
      </c>
      <c r="J158" s="39">
        <f t="shared" si="2"/>
        <v>14024041</v>
      </c>
      <c r="K158" s="35" t="s">
        <v>766</v>
      </c>
    </row>
    <row r="159" spans="1:11" x14ac:dyDescent="0.25">
      <c r="A159" s="33">
        <v>157</v>
      </c>
      <c r="B159" s="34">
        <v>45876</v>
      </c>
      <c r="C159" s="34">
        <v>45876</v>
      </c>
      <c r="D159" s="35" t="s">
        <v>297</v>
      </c>
      <c r="E159" s="35" t="s">
        <v>298</v>
      </c>
      <c r="F159" s="36" t="s">
        <v>664</v>
      </c>
      <c r="G159" s="40" t="s">
        <v>657</v>
      </c>
      <c r="H159" s="38">
        <v>150000</v>
      </c>
      <c r="I159" s="38"/>
      <c r="J159" s="39">
        <f t="shared" si="2"/>
        <v>13874041</v>
      </c>
      <c r="K159" s="35" t="s">
        <v>766</v>
      </c>
    </row>
    <row r="160" spans="1:11" x14ac:dyDescent="0.25">
      <c r="A160" s="4">
        <v>158</v>
      </c>
      <c r="B160" s="5">
        <v>45876</v>
      </c>
      <c r="C160" s="5">
        <v>45876</v>
      </c>
      <c r="D160" s="6" t="s">
        <v>299</v>
      </c>
      <c r="E160" s="6" t="s">
        <v>300</v>
      </c>
      <c r="F160" s="7" t="s">
        <v>656</v>
      </c>
      <c r="G160" s="11" t="s">
        <v>657</v>
      </c>
      <c r="H160" s="9">
        <v>1180</v>
      </c>
      <c r="I160" s="9"/>
      <c r="J160" s="10">
        <f t="shared" si="2"/>
        <v>13872861</v>
      </c>
      <c r="K160" s="6" t="s">
        <v>767</v>
      </c>
    </row>
    <row r="161" spans="1:11" x14ac:dyDescent="0.25">
      <c r="A161" s="19">
        <v>159</v>
      </c>
      <c r="B161" s="20">
        <v>45876</v>
      </c>
      <c r="C161" s="20">
        <v>45876</v>
      </c>
      <c r="D161" s="21" t="s">
        <v>301</v>
      </c>
      <c r="E161" s="21" t="s">
        <v>115</v>
      </c>
      <c r="F161" s="22" t="s">
        <v>660</v>
      </c>
      <c r="G161" s="23" t="s">
        <v>655</v>
      </c>
      <c r="H161" s="24"/>
      <c r="I161" s="24">
        <v>20000</v>
      </c>
      <c r="J161" s="25">
        <f t="shared" si="2"/>
        <v>13892861</v>
      </c>
      <c r="K161" s="21" t="s">
        <v>768</v>
      </c>
    </row>
    <row r="162" spans="1:11" x14ac:dyDescent="0.25">
      <c r="A162" s="4">
        <v>160</v>
      </c>
      <c r="B162" s="5">
        <v>45877</v>
      </c>
      <c r="C162" s="5">
        <v>45877</v>
      </c>
      <c r="D162" s="6" t="s">
        <v>302</v>
      </c>
      <c r="E162" s="6" t="s">
        <v>303</v>
      </c>
      <c r="F162" s="7" t="s">
        <v>659</v>
      </c>
      <c r="G162" s="11" t="s">
        <v>657</v>
      </c>
      <c r="H162" s="9">
        <v>8000</v>
      </c>
      <c r="I162" s="9"/>
      <c r="J162" s="10">
        <f t="shared" si="2"/>
        <v>13884861</v>
      </c>
      <c r="K162" s="6" t="s">
        <v>719</v>
      </c>
    </row>
    <row r="163" spans="1:11" x14ac:dyDescent="0.25">
      <c r="A163" s="12">
        <v>161</v>
      </c>
      <c r="B163" s="13">
        <v>45881</v>
      </c>
      <c r="C163" s="13">
        <v>45881</v>
      </c>
      <c r="D163" s="14" t="s">
        <v>304</v>
      </c>
      <c r="E163" s="14" t="s">
        <v>305</v>
      </c>
      <c r="F163" s="15" t="s">
        <v>659</v>
      </c>
      <c r="G163" s="16" t="s">
        <v>655</v>
      </c>
      <c r="H163" s="17"/>
      <c r="I163" s="17">
        <v>648000</v>
      </c>
      <c r="J163" s="18">
        <f t="shared" si="2"/>
        <v>14532861</v>
      </c>
      <c r="K163" s="14" t="s">
        <v>769</v>
      </c>
    </row>
    <row r="164" spans="1:11" x14ac:dyDescent="0.25">
      <c r="A164" s="26">
        <v>162</v>
      </c>
      <c r="B164" s="27">
        <v>45881</v>
      </c>
      <c r="C164" s="27">
        <v>45881</v>
      </c>
      <c r="D164" s="28" t="s">
        <v>306</v>
      </c>
      <c r="E164" s="28" t="s">
        <v>307</v>
      </c>
      <c r="F164" s="29" t="s">
        <v>659</v>
      </c>
      <c r="G164" s="30" t="s">
        <v>655</v>
      </c>
      <c r="H164" s="31"/>
      <c r="I164" s="31">
        <v>30000</v>
      </c>
      <c r="J164" s="32">
        <f t="shared" si="2"/>
        <v>14562861</v>
      </c>
      <c r="K164" s="28" t="s">
        <v>723</v>
      </c>
    </row>
    <row r="165" spans="1:11" x14ac:dyDescent="0.25">
      <c r="A165" s="4">
        <v>163</v>
      </c>
      <c r="B165" s="5">
        <v>45882</v>
      </c>
      <c r="C165" s="5">
        <v>45882</v>
      </c>
      <c r="D165" s="6" t="s">
        <v>308</v>
      </c>
      <c r="E165" s="6" t="s">
        <v>309</v>
      </c>
      <c r="F165" s="7" t="s">
        <v>659</v>
      </c>
      <c r="G165" s="11" t="s">
        <v>657</v>
      </c>
      <c r="H165" s="9">
        <v>85000</v>
      </c>
      <c r="I165" s="9"/>
      <c r="J165" s="10">
        <f t="shared" si="2"/>
        <v>14477861</v>
      </c>
      <c r="K165" s="6" t="s">
        <v>683</v>
      </c>
    </row>
    <row r="166" spans="1:11" x14ac:dyDescent="0.25">
      <c r="A166" s="4">
        <v>164</v>
      </c>
      <c r="B166" s="5">
        <v>45882</v>
      </c>
      <c r="C166" s="5">
        <v>45882</v>
      </c>
      <c r="D166" s="6" t="s">
        <v>310</v>
      </c>
      <c r="E166" s="6" t="s">
        <v>311</v>
      </c>
      <c r="F166" s="7" t="s">
        <v>659</v>
      </c>
      <c r="G166" s="11" t="s">
        <v>657</v>
      </c>
      <c r="H166" s="9">
        <v>18000</v>
      </c>
      <c r="I166" s="9"/>
      <c r="J166" s="10">
        <f t="shared" si="2"/>
        <v>14459861</v>
      </c>
      <c r="K166" s="6" t="s">
        <v>683</v>
      </c>
    </row>
    <row r="167" spans="1:11" x14ac:dyDescent="0.25">
      <c r="A167" s="4">
        <v>165</v>
      </c>
      <c r="B167" s="5">
        <v>45884</v>
      </c>
      <c r="C167" s="5">
        <v>45884</v>
      </c>
      <c r="D167" s="6" t="s">
        <v>312</v>
      </c>
      <c r="E167" s="6" t="s">
        <v>111</v>
      </c>
      <c r="F167" s="7" t="s">
        <v>659</v>
      </c>
      <c r="G167" s="8" t="s">
        <v>655</v>
      </c>
      <c r="H167" s="9"/>
      <c r="I167" s="9">
        <v>295000</v>
      </c>
      <c r="J167" s="10">
        <f t="shared" si="2"/>
        <v>14754861</v>
      </c>
      <c r="K167" s="6" t="s">
        <v>727</v>
      </c>
    </row>
    <row r="168" spans="1:11" x14ac:dyDescent="0.25">
      <c r="A168" s="4">
        <v>166</v>
      </c>
      <c r="B168" s="5">
        <v>45885</v>
      </c>
      <c r="C168" s="5">
        <v>45885</v>
      </c>
      <c r="D168" s="6" t="s">
        <v>313</v>
      </c>
      <c r="E168" s="6" t="s">
        <v>314</v>
      </c>
      <c r="F168" s="7" t="s">
        <v>659</v>
      </c>
      <c r="G168" s="8" t="s">
        <v>655</v>
      </c>
      <c r="H168" s="9"/>
      <c r="I168" s="9">
        <v>236000</v>
      </c>
      <c r="J168" s="10">
        <f t="shared" si="2"/>
        <v>14990861</v>
      </c>
      <c r="K168" s="6" t="s">
        <v>770</v>
      </c>
    </row>
    <row r="169" spans="1:11" x14ac:dyDescent="0.25">
      <c r="A169" s="26">
        <v>167</v>
      </c>
      <c r="B169" s="27">
        <v>45885</v>
      </c>
      <c r="C169" s="27">
        <v>45885</v>
      </c>
      <c r="D169" s="28" t="s">
        <v>315</v>
      </c>
      <c r="E169" s="28" t="s">
        <v>316</v>
      </c>
      <c r="F169" s="29" t="s">
        <v>659</v>
      </c>
      <c r="G169" s="30" t="s">
        <v>655</v>
      </c>
      <c r="H169" s="31"/>
      <c r="I169" s="31">
        <v>50000</v>
      </c>
      <c r="J169" s="32">
        <f t="shared" si="2"/>
        <v>15040861</v>
      </c>
      <c r="K169" s="28" t="s">
        <v>723</v>
      </c>
    </row>
    <row r="170" spans="1:11" x14ac:dyDescent="0.25">
      <c r="A170" s="12">
        <v>168</v>
      </c>
      <c r="B170" s="13">
        <v>45886</v>
      </c>
      <c r="C170" s="13">
        <v>45886</v>
      </c>
      <c r="D170" s="14" t="s">
        <v>317</v>
      </c>
      <c r="E170" s="14" t="s">
        <v>318</v>
      </c>
      <c r="F170" s="15" t="s">
        <v>659</v>
      </c>
      <c r="G170" s="16" t="s">
        <v>655</v>
      </c>
      <c r="H170" s="17"/>
      <c r="I170" s="17">
        <v>216000</v>
      </c>
      <c r="J170" s="18">
        <f t="shared" si="2"/>
        <v>15256861</v>
      </c>
      <c r="K170" s="14" t="s">
        <v>771</v>
      </c>
    </row>
    <row r="171" spans="1:11" x14ac:dyDescent="0.25">
      <c r="A171" s="4">
        <v>169</v>
      </c>
      <c r="B171" s="5">
        <v>45887</v>
      </c>
      <c r="C171" s="5">
        <v>45887</v>
      </c>
      <c r="D171" s="6" t="s">
        <v>319</v>
      </c>
      <c r="E171" s="6" t="s">
        <v>320</v>
      </c>
      <c r="F171" s="7" t="s">
        <v>658</v>
      </c>
      <c r="G171" s="8" t="s">
        <v>655</v>
      </c>
      <c r="H171" s="9"/>
      <c r="I171" s="9">
        <v>35400</v>
      </c>
      <c r="J171" s="10">
        <f t="shared" si="2"/>
        <v>15292261</v>
      </c>
      <c r="K171" s="6" t="s">
        <v>772</v>
      </c>
    </row>
    <row r="172" spans="1:11" x14ac:dyDescent="0.25">
      <c r="A172" s="4">
        <v>170</v>
      </c>
      <c r="B172" s="5">
        <v>45887</v>
      </c>
      <c r="C172" s="5">
        <v>45887</v>
      </c>
      <c r="D172" s="6" t="s">
        <v>321</v>
      </c>
      <c r="E172" s="6" t="s">
        <v>322</v>
      </c>
      <c r="F172" s="7" t="s">
        <v>659</v>
      </c>
      <c r="G172" s="11" t="s">
        <v>657</v>
      </c>
      <c r="H172" s="9">
        <v>350000</v>
      </c>
      <c r="I172" s="9"/>
      <c r="J172" s="10">
        <f t="shared" si="2"/>
        <v>14942261</v>
      </c>
      <c r="K172" s="6" t="s">
        <v>683</v>
      </c>
    </row>
    <row r="173" spans="1:11" x14ac:dyDescent="0.25">
      <c r="A173" s="4">
        <v>171</v>
      </c>
      <c r="B173" s="5">
        <v>45887</v>
      </c>
      <c r="C173" s="5">
        <v>45887</v>
      </c>
      <c r="D173" s="6" t="s">
        <v>323</v>
      </c>
      <c r="E173" s="6" t="s">
        <v>125</v>
      </c>
      <c r="F173" s="7" t="s">
        <v>659</v>
      </c>
      <c r="G173" s="11" t="s">
        <v>657</v>
      </c>
      <c r="H173" s="9">
        <v>5000</v>
      </c>
      <c r="I173" s="9"/>
      <c r="J173" s="10">
        <f t="shared" si="2"/>
        <v>14937261</v>
      </c>
      <c r="K173" s="6" t="s">
        <v>719</v>
      </c>
    </row>
    <row r="174" spans="1:11" x14ac:dyDescent="0.25">
      <c r="A174" s="12">
        <v>172</v>
      </c>
      <c r="B174" s="13">
        <v>45888</v>
      </c>
      <c r="C174" s="13">
        <v>45888</v>
      </c>
      <c r="D174" s="14" t="s">
        <v>324</v>
      </c>
      <c r="E174" s="14" t="s">
        <v>318</v>
      </c>
      <c r="F174" s="15" t="s">
        <v>659</v>
      </c>
      <c r="G174" s="16" t="s">
        <v>655</v>
      </c>
      <c r="H174" s="17"/>
      <c r="I174" s="17">
        <v>648000</v>
      </c>
      <c r="J174" s="18">
        <f t="shared" si="2"/>
        <v>15585261</v>
      </c>
      <c r="K174" s="14" t="s">
        <v>773</v>
      </c>
    </row>
    <row r="175" spans="1:11" x14ac:dyDescent="0.25">
      <c r="A175" s="4">
        <v>173</v>
      </c>
      <c r="B175" s="5">
        <v>45889</v>
      </c>
      <c r="C175" s="5">
        <v>45889</v>
      </c>
      <c r="D175" s="6" t="s">
        <v>325</v>
      </c>
      <c r="E175" s="6" t="s">
        <v>326</v>
      </c>
      <c r="F175" s="7" t="s">
        <v>659</v>
      </c>
      <c r="G175" s="8" t="s">
        <v>655</v>
      </c>
      <c r="H175" s="9"/>
      <c r="I175" s="9">
        <v>94400</v>
      </c>
      <c r="J175" s="10">
        <f t="shared" si="2"/>
        <v>15679661</v>
      </c>
      <c r="K175" s="6" t="s">
        <v>774</v>
      </c>
    </row>
    <row r="176" spans="1:11" x14ac:dyDescent="0.25">
      <c r="A176" s="4">
        <v>174</v>
      </c>
      <c r="B176" s="5">
        <v>45889</v>
      </c>
      <c r="C176" s="5">
        <v>45889</v>
      </c>
      <c r="D176" s="6" t="s">
        <v>327</v>
      </c>
      <c r="E176" s="6" t="s">
        <v>328</v>
      </c>
      <c r="F176" s="7" t="s">
        <v>659</v>
      </c>
      <c r="G176" s="8" t="s">
        <v>655</v>
      </c>
      <c r="H176" s="9"/>
      <c r="I176" s="9">
        <v>5900</v>
      </c>
      <c r="J176" s="10">
        <f t="shared" si="2"/>
        <v>15685561</v>
      </c>
      <c r="K176" s="6" t="s">
        <v>775</v>
      </c>
    </row>
    <row r="177" spans="1:11" x14ac:dyDescent="0.25">
      <c r="A177" s="19">
        <v>175</v>
      </c>
      <c r="B177" s="20">
        <v>45889</v>
      </c>
      <c r="C177" s="20">
        <v>45889</v>
      </c>
      <c r="D177" s="21" t="s">
        <v>329</v>
      </c>
      <c r="E177" s="21" t="s">
        <v>330</v>
      </c>
      <c r="F177" s="22" t="s">
        <v>658</v>
      </c>
      <c r="G177" s="23" t="s">
        <v>655</v>
      </c>
      <c r="H177" s="24"/>
      <c r="I177" s="24">
        <v>120000</v>
      </c>
      <c r="J177" s="25">
        <f t="shared" si="2"/>
        <v>15805561</v>
      </c>
      <c r="K177" s="21" t="s">
        <v>776</v>
      </c>
    </row>
    <row r="178" spans="1:11" x14ac:dyDescent="0.25">
      <c r="A178" s="4">
        <v>176</v>
      </c>
      <c r="B178" s="5">
        <v>45891</v>
      </c>
      <c r="C178" s="5">
        <v>45891</v>
      </c>
      <c r="D178" s="6" t="s">
        <v>331</v>
      </c>
      <c r="E178" s="6" t="s">
        <v>332</v>
      </c>
      <c r="F178" s="7" t="s">
        <v>658</v>
      </c>
      <c r="G178" s="8" t="s">
        <v>655</v>
      </c>
      <c r="H178" s="9"/>
      <c r="I178" s="9">
        <v>35400</v>
      </c>
      <c r="J178" s="10">
        <f t="shared" si="2"/>
        <v>15840961</v>
      </c>
      <c r="K178" s="6" t="s">
        <v>777</v>
      </c>
    </row>
    <row r="179" spans="1:11" x14ac:dyDescent="0.25">
      <c r="A179" s="4">
        <v>177</v>
      </c>
      <c r="B179" s="5">
        <v>45891</v>
      </c>
      <c r="C179" s="5">
        <v>45891</v>
      </c>
      <c r="D179" s="6" t="s">
        <v>333</v>
      </c>
      <c r="E179" s="6" t="s">
        <v>334</v>
      </c>
      <c r="F179" s="7" t="s">
        <v>659</v>
      </c>
      <c r="G179" s="8" t="s">
        <v>655</v>
      </c>
      <c r="H179" s="9"/>
      <c r="I179" s="9">
        <v>3540</v>
      </c>
      <c r="J179" s="10">
        <f t="shared" si="2"/>
        <v>15844501</v>
      </c>
      <c r="K179" s="6" t="s">
        <v>778</v>
      </c>
    </row>
    <row r="180" spans="1:11" x14ac:dyDescent="0.25">
      <c r="A180" s="12">
        <v>178</v>
      </c>
      <c r="B180" s="13">
        <v>45893</v>
      </c>
      <c r="C180" s="13">
        <v>45893</v>
      </c>
      <c r="D180" s="14" t="s">
        <v>335</v>
      </c>
      <c r="E180" s="14" t="s">
        <v>336</v>
      </c>
      <c r="F180" s="15" t="s">
        <v>659</v>
      </c>
      <c r="G180" s="16" t="s">
        <v>655</v>
      </c>
      <c r="H180" s="17"/>
      <c r="I180" s="17">
        <v>324000</v>
      </c>
      <c r="J180" s="18">
        <f t="shared" si="2"/>
        <v>16168501</v>
      </c>
      <c r="K180" s="14" t="s">
        <v>779</v>
      </c>
    </row>
    <row r="181" spans="1:11" x14ac:dyDescent="0.25">
      <c r="A181" s="4">
        <v>179</v>
      </c>
      <c r="B181" s="5">
        <v>45895</v>
      </c>
      <c r="C181" s="5">
        <v>45895</v>
      </c>
      <c r="D181" s="6" t="s">
        <v>337</v>
      </c>
      <c r="E181" s="6" t="s">
        <v>338</v>
      </c>
      <c r="F181" s="7" t="s">
        <v>659</v>
      </c>
      <c r="G181" s="11" t="s">
        <v>657</v>
      </c>
      <c r="H181" s="9">
        <v>900000</v>
      </c>
      <c r="I181" s="9"/>
      <c r="J181" s="10">
        <f t="shared" si="2"/>
        <v>15268501</v>
      </c>
      <c r="K181" s="6" t="s">
        <v>688</v>
      </c>
    </row>
    <row r="182" spans="1:11" x14ac:dyDescent="0.25">
      <c r="A182" s="19">
        <v>180</v>
      </c>
      <c r="B182" s="20">
        <v>45895</v>
      </c>
      <c r="C182" s="20">
        <v>45895</v>
      </c>
      <c r="D182" s="21" t="s">
        <v>339</v>
      </c>
      <c r="E182" s="21" t="s">
        <v>340</v>
      </c>
      <c r="F182" s="22" t="s">
        <v>658</v>
      </c>
      <c r="G182" s="23" t="s">
        <v>655</v>
      </c>
      <c r="H182" s="24"/>
      <c r="I182" s="24">
        <v>200000</v>
      </c>
      <c r="J182" s="25">
        <f t="shared" si="2"/>
        <v>15468501</v>
      </c>
      <c r="K182" s="21" t="s">
        <v>780</v>
      </c>
    </row>
    <row r="183" spans="1:11" x14ac:dyDescent="0.25">
      <c r="A183" s="19">
        <v>181</v>
      </c>
      <c r="B183" s="20">
        <v>45896</v>
      </c>
      <c r="C183" s="20">
        <v>45896</v>
      </c>
      <c r="D183" s="21" t="s">
        <v>341</v>
      </c>
      <c r="E183" s="21" t="s">
        <v>85</v>
      </c>
      <c r="F183" s="22" t="s">
        <v>660</v>
      </c>
      <c r="G183" s="23" t="s">
        <v>655</v>
      </c>
      <c r="H183" s="24"/>
      <c r="I183" s="24">
        <v>75000</v>
      </c>
      <c r="J183" s="25">
        <f t="shared" si="2"/>
        <v>15543501</v>
      </c>
      <c r="K183" s="21" t="s">
        <v>678</v>
      </c>
    </row>
    <row r="184" spans="1:11" x14ac:dyDescent="0.25">
      <c r="A184" s="4">
        <v>182</v>
      </c>
      <c r="B184" s="5">
        <v>45897</v>
      </c>
      <c r="C184" s="5">
        <v>45897</v>
      </c>
      <c r="D184" s="6" t="s">
        <v>342</v>
      </c>
      <c r="E184" s="6" t="s">
        <v>343</v>
      </c>
      <c r="F184" s="7" t="s">
        <v>659</v>
      </c>
      <c r="G184" s="11" t="s">
        <v>657</v>
      </c>
      <c r="H184" s="9">
        <v>15000</v>
      </c>
      <c r="I184" s="9"/>
      <c r="J184" s="10">
        <f t="shared" si="2"/>
        <v>15528501</v>
      </c>
      <c r="K184" s="6" t="s">
        <v>719</v>
      </c>
    </row>
    <row r="185" spans="1:11" x14ac:dyDescent="0.25">
      <c r="A185" s="4">
        <v>183</v>
      </c>
      <c r="B185" s="5">
        <v>45898</v>
      </c>
      <c r="C185" s="5">
        <v>45898</v>
      </c>
      <c r="D185" s="6" t="s">
        <v>344</v>
      </c>
      <c r="E185" s="6" t="s">
        <v>345</v>
      </c>
      <c r="F185" s="7" t="s">
        <v>654</v>
      </c>
      <c r="G185" s="8" t="s">
        <v>655</v>
      </c>
      <c r="H185" s="9"/>
      <c r="I185" s="9">
        <v>18500</v>
      </c>
      <c r="J185" s="10">
        <f t="shared" si="2"/>
        <v>15547001</v>
      </c>
      <c r="K185" s="6" t="s">
        <v>668</v>
      </c>
    </row>
    <row r="186" spans="1:11" x14ac:dyDescent="0.25">
      <c r="A186" s="4">
        <v>184</v>
      </c>
      <c r="B186" s="5">
        <v>45898</v>
      </c>
      <c r="C186" s="5">
        <v>45898</v>
      </c>
      <c r="D186" s="6" t="s">
        <v>346</v>
      </c>
      <c r="E186" s="6" t="s">
        <v>345</v>
      </c>
      <c r="F186" s="7" t="s">
        <v>654</v>
      </c>
      <c r="G186" s="8" t="s">
        <v>655</v>
      </c>
      <c r="H186" s="9"/>
      <c r="I186" s="9">
        <v>22000</v>
      </c>
      <c r="J186" s="10">
        <f t="shared" si="2"/>
        <v>15569001</v>
      </c>
      <c r="K186" s="6" t="s">
        <v>668</v>
      </c>
    </row>
    <row r="187" spans="1:11" x14ac:dyDescent="0.25">
      <c r="A187" s="4">
        <v>185</v>
      </c>
      <c r="B187" s="5">
        <v>45898</v>
      </c>
      <c r="C187" s="5">
        <v>45898</v>
      </c>
      <c r="D187" s="6" t="s">
        <v>347</v>
      </c>
      <c r="E187" s="6" t="s">
        <v>348</v>
      </c>
      <c r="F187" s="7" t="s">
        <v>656</v>
      </c>
      <c r="G187" s="11" t="s">
        <v>657</v>
      </c>
      <c r="H187" s="9">
        <v>2600</v>
      </c>
      <c r="I187" s="9"/>
      <c r="J187" s="10">
        <f t="shared" si="2"/>
        <v>15566401</v>
      </c>
      <c r="K187" s="6" t="s">
        <v>669</v>
      </c>
    </row>
    <row r="188" spans="1:11" x14ac:dyDescent="0.25">
      <c r="A188" s="4">
        <v>186</v>
      </c>
      <c r="B188" s="5">
        <v>45898</v>
      </c>
      <c r="C188" s="5">
        <v>45898</v>
      </c>
      <c r="D188" s="6" t="s">
        <v>349</v>
      </c>
      <c r="E188" s="6" t="s">
        <v>350</v>
      </c>
      <c r="F188" s="7" t="s">
        <v>656</v>
      </c>
      <c r="G188" s="11" t="s">
        <v>657</v>
      </c>
      <c r="H188" s="9">
        <v>468</v>
      </c>
      <c r="I188" s="9"/>
      <c r="J188" s="10">
        <f t="shared" si="2"/>
        <v>15565933</v>
      </c>
      <c r="K188" s="6" t="s">
        <v>669</v>
      </c>
    </row>
    <row r="189" spans="1:11" x14ac:dyDescent="0.25">
      <c r="A189" s="4">
        <v>187</v>
      </c>
      <c r="B189" s="5">
        <v>45898</v>
      </c>
      <c r="C189" s="5">
        <v>45898</v>
      </c>
      <c r="D189" s="6" t="s">
        <v>351</v>
      </c>
      <c r="E189" s="6" t="s">
        <v>352</v>
      </c>
      <c r="F189" s="7" t="s">
        <v>659</v>
      </c>
      <c r="G189" s="11" t="s">
        <v>657</v>
      </c>
      <c r="H189" s="9">
        <v>150000</v>
      </c>
      <c r="I189" s="9"/>
      <c r="J189" s="10">
        <f t="shared" si="2"/>
        <v>15415933</v>
      </c>
      <c r="K189" s="6" t="s">
        <v>675</v>
      </c>
    </row>
    <row r="190" spans="1:11" x14ac:dyDescent="0.25">
      <c r="A190" s="4">
        <v>188</v>
      </c>
      <c r="B190" s="5">
        <v>45899</v>
      </c>
      <c r="C190" s="5">
        <v>45899</v>
      </c>
      <c r="D190" s="6" t="s">
        <v>353</v>
      </c>
      <c r="E190" s="6" t="s">
        <v>354</v>
      </c>
      <c r="F190" s="7" t="s">
        <v>659</v>
      </c>
      <c r="G190" s="11" t="s">
        <v>657</v>
      </c>
      <c r="H190" s="9">
        <v>10000</v>
      </c>
      <c r="I190" s="9"/>
      <c r="J190" s="10">
        <f t="shared" si="2"/>
        <v>15405933</v>
      </c>
      <c r="K190" s="6" t="s">
        <v>675</v>
      </c>
    </row>
    <row r="191" spans="1:11" x14ac:dyDescent="0.25">
      <c r="A191" s="12">
        <v>189</v>
      </c>
      <c r="B191" s="13">
        <v>45900</v>
      </c>
      <c r="C191" s="13">
        <v>45900</v>
      </c>
      <c r="D191" s="14" t="s">
        <v>355</v>
      </c>
      <c r="E191" s="14" t="s">
        <v>103</v>
      </c>
      <c r="F191" s="15" t="s">
        <v>659</v>
      </c>
      <c r="G191" s="16" t="s">
        <v>655</v>
      </c>
      <c r="H191" s="17"/>
      <c r="I191" s="17">
        <v>59000</v>
      </c>
      <c r="J191" s="18">
        <f t="shared" si="2"/>
        <v>15464933</v>
      </c>
      <c r="K191" s="14" t="s">
        <v>781</v>
      </c>
    </row>
    <row r="192" spans="1:11" x14ac:dyDescent="0.25">
      <c r="A192" s="33">
        <v>190</v>
      </c>
      <c r="B192" s="34">
        <v>45903</v>
      </c>
      <c r="C192" s="34">
        <v>45903</v>
      </c>
      <c r="D192" s="35" t="s">
        <v>356</v>
      </c>
      <c r="E192" s="35" t="s">
        <v>357</v>
      </c>
      <c r="F192" s="36" t="s">
        <v>663</v>
      </c>
      <c r="G192" s="37" t="s">
        <v>655</v>
      </c>
      <c r="H192" s="38"/>
      <c r="I192" s="38">
        <v>100000</v>
      </c>
      <c r="J192" s="39">
        <f t="shared" si="2"/>
        <v>15564933</v>
      </c>
      <c r="K192" s="35" t="s">
        <v>782</v>
      </c>
    </row>
    <row r="193" spans="1:11" x14ac:dyDescent="0.25">
      <c r="A193" s="33">
        <v>191</v>
      </c>
      <c r="B193" s="34">
        <v>45904</v>
      </c>
      <c r="C193" s="34">
        <v>45904</v>
      </c>
      <c r="D193" s="35" t="s">
        <v>358</v>
      </c>
      <c r="E193" s="35" t="s">
        <v>359</v>
      </c>
      <c r="F193" s="36" t="s">
        <v>663</v>
      </c>
      <c r="G193" s="37" t="s">
        <v>655</v>
      </c>
      <c r="H193" s="38"/>
      <c r="I193" s="38">
        <v>200000</v>
      </c>
      <c r="J193" s="39">
        <f t="shared" si="2"/>
        <v>15764933</v>
      </c>
      <c r="K193" s="35" t="s">
        <v>783</v>
      </c>
    </row>
    <row r="194" spans="1:11" x14ac:dyDescent="0.25">
      <c r="A194" s="12">
        <v>192</v>
      </c>
      <c r="B194" s="13">
        <v>45904</v>
      </c>
      <c r="C194" s="13">
        <v>45904</v>
      </c>
      <c r="D194" s="14" t="s">
        <v>360</v>
      </c>
      <c r="E194" s="14" t="s">
        <v>361</v>
      </c>
      <c r="F194" s="15" t="s">
        <v>659</v>
      </c>
      <c r="G194" s="16" t="s">
        <v>655</v>
      </c>
      <c r="H194" s="17"/>
      <c r="I194" s="17">
        <v>648000</v>
      </c>
      <c r="J194" s="18">
        <f t="shared" si="2"/>
        <v>16412933</v>
      </c>
      <c r="K194" s="14" t="s">
        <v>784</v>
      </c>
    </row>
    <row r="195" spans="1:11" x14ac:dyDescent="0.25">
      <c r="A195" s="19">
        <v>193</v>
      </c>
      <c r="B195" s="20">
        <v>45904</v>
      </c>
      <c r="C195" s="20">
        <v>45904</v>
      </c>
      <c r="D195" s="21" t="s">
        <v>362</v>
      </c>
      <c r="E195" s="21" t="s">
        <v>115</v>
      </c>
      <c r="F195" s="22" t="s">
        <v>660</v>
      </c>
      <c r="G195" s="23" t="s">
        <v>655</v>
      </c>
      <c r="H195" s="24"/>
      <c r="I195" s="24">
        <v>50000</v>
      </c>
      <c r="J195" s="25">
        <f t="shared" ref="J195:J258" si="3">J194+I195-H195</f>
        <v>16462933</v>
      </c>
      <c r="K195" s="21" t="s">
        <v>785</v>
      </c>
    </row>
    <row r="196" spans="1:11" x14ac:dyDescent="0.25">
      <c r="A196" s="33">
        <v>194</v>
      </c>
      <c r="B196" s="34">
        <v>45905</v>
      </c>
      <c r="C196" s="34">
        <v>45905</v>
      </c>
      <c r="D196" s="35" t="s">
        <v>363</v>
      </c>
      <c r="E196" s="35" t="s">
        <v>364</v>
      </c>
      <c r="F196" s="36" t="s">
        <v>664</v>
      </c>
      <c r="G196" s="40" t="s">
        <v>657</v>
      </c>
      <c r="H196" s="38">
        <v>100000</v>
      </c>
      <c r="I196" s="38"/>
      <c r="J196" s="39">
        <f t="shared" si="3"/>
        <v>16362933</v>
      </c>
      <c r="K196" s="35" t="s">
        <v>782</v>
      </c>
    </row>
    <row r="197" spans="1:11" x14ac:dyDescent="0.25">
      <c r="A197" s="4">
        <v>195</v>
      </c>
      <c r="B197" s="5">
        <v>45905</v>
      </c>
      <c r="C197" s="5">
        <v>45905</v>
      </c>
      <c r="D197" s="6" t="s">
        <v>365</v>
      </c>
      <c r="E197" s="6" t="s">
        <v>366</v>
      </c>
      <c r="F197" s="7" t="s">
        <v>656</v>
      </c>
      <c r="G197" s="11" t="s">
        <v>657</v>
      </c>
      <c r="H197" s="9">
        <v>1770</v>
      </c>
      <c r="I197" s="9"/>
      <c r="J197" s="10">
        <f t="shared" si="3"/>
        <v>16361163</v>
      </c>
      <c r="K197" s="6" t="s">
        <v>786</v>
      </c>
    </row>
    <row r="198" spans="1:11" x14ac:dyDescent="0.25">
      <c r="A198" s="4">
        <v>196</v>
      </c>
      <c r="B198" s="5">
        <v>45905</v>
      </c>
      <c r="C198" s="5">
        <v>45905</v>
      </c>
      <c r="D198" s="6" t="s">
        <v>367</v>
      </c>
      <c r="E198" s="6" t="s">
        <v>368</v>
      </c>
      <c r="F198" s="7" t="s">
        <v>659</v>
      </c>
      <c r="G198" s="8" t="s">
        <v>655</v>
      </c>
      <c r="H198" s="9"/>
      <c r="I198" s="9">
        <v>8850</v>
      </c>
      <c r="J198" s="10">
        <f t="shared" si="3"/>
        <v>16370013</v>
      </c>
      <c r="K198" s="6" t="s">
        <v>787</v>
      </c>
    </row>
    <row r="199" spans="1:11" x14ac:dyDescent="0.25">
      <c r="A199" s="4">
        <v>197</v>
      </c>
      <c r="B199" s="5">
        <v>45906</v>
      </c>
      <c r="C199" s="5">
        <v>45906</v>
      </c>
      <c r="D199" s="6" t="s">
        <v>369</v>
      </c>
      <c r="E199" s="6" t="s">
        <v>370</v>
      </c>
      <c r="F199" s="7" t="s">
        <v>659</v>
      </c>
      <c r="G199" s="8" t="s">
        <v>655</v>
      </c>
      <c r="H199" s="9"/>
      <c r="I199" s="9">
        <v>141600</v>
      </c>
      <c r="J199" s="10">
        <f t="shared" si="3"/>
        <v>16511613</v>
      </c>
      <c r="K199" s="6" t="s">
        <v>788</v>
      </c>
    </row>
    <row r="200" spans="1:11" x14ac:dyDescent="0.25">
      <c r="A200" s="33">
        <v>198</v>
      </c>
      <c r="B200" s="34">
        <v>45906</v>
      </c>
      <c r="C200" s="34">
        <v>45906</v>
      </c>
      <c r="D200" s="35" t="s">
        <v>371</v>
      </c>
      <c r="E200" s="35" t="s">
        <v>372</v>
      </c>
      <c r="F200" s="36" t="s">
        <v>664</v>
      </c>
      <c r="G200" s="40" t="s">
        <v>657</v>
      </c>
      <c r="H200" s="38">
        <v>200000</v>
      </c>
      <c r="I200" s="38"/>
      <c r="J200" s="39">
        <f t="shared" si="3"/>
        <v>16311613</v>
      </c>
      <c r="K200" s="35" t="s">
        <v>783</v>
      </c>
    </row>
    <row r="201" spans="1:11" x14ac:dyDescent="0.25">
      <c r="A201" s="4">
        <v>199</v>
      </c>
      <c r="B201" s="5">
        <v>45906</v>
      </c>
      <c r="C201" s="5">
        <v>45906</v>
      </c>
      <c r="D201" s="6" t="s">
        <v>373</v>
      </c>
      <c r="E201" s="6" t="s">
        <v>374</v>
      </c>
      <c r="F201" s="7" t="s">
        <v>656</v>
      </c>
      <c r="G201" s="11" t="s">
        <v>657</v>
      </c>
      <c r="H201" s="9">
        <v>2360</v>
      </c>
      <c r="I201" s="9"/>
      <c r="J201" s="10">
        <f t="shared" si="3"/>
        <v>16309253</v>
      </c>
      <c r="K201" s="6" t="s">
        <v>789</v>
      </c>
    </row>
    <row r="202" spans="1:11" x14ac:dyDescent="0.25">
      <c r="A202" s="19">
        <v>200</v>
      </c>
      <c r="B202" s="20">
        <v>45906</v>
      </c>
      <c r="C202" s="20">
        <v>45906</v>
      </c>
      <c r="D202" s="21" t="s">
        <v>375</v>
      </c>
      <c r="E202" s="21" t="s">
        <v>127</v>
      </c>
      <c r="F202" s="22" t="s">
        <v>660</v>
      </c>
      <c r="G202" s="23" t="s">
        <v>655</v>
      </c>
      <c r="H202" s="24"/>
      <c r="I202" s="24">
        <v>20000</v>
      </c>
      <c r="J202" s="25">
        <f t="shared" si="3"/>
        <v>16329253</v>
      </c>
      <c r="K202" s="21" t="s">
        <v>745</v>
      </c>
    </row>
    <row r="203" spans="1:11" x14ac:dyDescent="0.25">
      <c r="A203" s="4">
        <v>201</v>
      </c>
      <c r="B203" s="5">
        <v>45908</v>
      </c>
      <c r="C203" s="5">
        <v>45908</v>
      </c>
      <c r="D203" s="6" t="s">
        <v>376</v>
      </c>
      <c r="E203" s="6" t="s">
        <v>377</v>
      </c>
      <c r="F203" s="7" t="s">
        <v>659</v>
      </c>
      <c r="G203" s="8" t="s">
        <v>655</v>
      </c>
      <c r="H203" s="9"/>
      <c r="I203" s="9">
        <v>82600</v>
      </c>
      <c r="J203" s="10">
        <f t="shared" si="3"/>
        <v>16411853</v>
      </c>
      <c r="K203" s="6" t="s">
        <v>790</v>
      </c>
    </row>
    <row r="204" spans="1:11" x14ac:dyDescent="0.25">
      <c r="A204" s="4">
        <v>202</v>
      </c>
      <c r="B204" s="5">
        <v>45909</v>
      </c>
      <c r="C204" s="5">
        <v>45909</v>
      </c>
      <c r="D204" s="6" t="s">
        <v>378</v>
      </c>
      <c r="E204" s="6" t="s">
        <v>379</v>
      </c>
      <c r="F204" s="7" t="s">
        <v>659</v>
      </c>
      <c r="G204" s="8" t="s">
        <v>655</v>
      </c>
      <c r="H204" s="9"/>
      <c r="I204" s="9">
        <v>236000</v>
      </c>
      <c r="J204" s="10">
        <f t="shared" si="3"/>
        <v>16647853</v>
      </c>
      <c r="K204" s="6" t="s">
        <v>791</v>
      </c>
    </row>
    <row r="205" spans="1:11" x14ac:dyDescent="0.25">
      <c r="A205" s="12">
        <v>203</v>
      </c>
      <c r="B205" s="13">
        <v>45910</v>
      </c>
      <c r="C205" s="13">
        <v>45910</v>
      </c>
      <c r="D205" s="14" t="s">
        <v>380</v>
      </c>
      <c r="E205" s="14" t="s">
        <v>33</v>
      </c>
      <c r="F205" s="15" t="s">
        <v>659</v>
      </c>
      <c r="G205" s="16" t="s">
        <v>655</v>
      </c>
      <c r="H205" s="17"/>
      <c r="I205" s="17">
        <v>540000</v>
      </c>
      <c r="J205" s="18">
        <f t="shared" si="3"/>
        <v>17187853</v>
      </c>
      <c r="K205" s="14" t="s">
        <v>792</v>
      </c>
    </row>
    <row r="206" spans="1:11" x14ac:dyDescent="0.25">
      <c r="A206" s="12">
        <v>204</v>
      </c>
      <c r="B206" s="13">
        <v>45912</v>
      </c>
      <c r="C206" s="13">
        <v>45912</v>
      </c>
      <c r="D206" s="14" t="s">
        <v>381</v>
      </c>
      <c r="E206" s="14" t="s">
        <v>172</v>
      </c>
      <c r="F206" s="15" t="s">
        <v>658</v>
      </c>
      <c r="G206" s="16" t="s">
        <v>655</v>
      </c>
      <c r="H206" s="17"/>
      <c r="I206" s="17">
        <v>88500</v>
      </c>
      <c r="J206" s="18">
        <f t="shared" si="3"/>
        <v>17276353</v>
      </c>
      <c r="K206" s="14" t="s">
        <v>793</v>
      </c>
    </row>
    <row r="207" spans="1:11" x14ac:dyDescent="0.25">
      <c r="A207" s="4">
        <v>205</v>
      </c>
      <c r="B207" s="5">
        <v>45912</v>
      </c>
      <c r="C207" s="5">
        <v>45912</v>
      </c>
      <c r="D207" s="6" t="s">
        <v>382</v>
      </c>
      <c r="E207" s="6" t="s">
        <v>243</v>
      </c>
      <c r="F207" s="7" t="s">
        <v>659</v>
      </c>
      <c r="G207" s="8" t="s">
        <v>655</v>
      </c>
      <c r="H207" s="9"/>
      <c r="I207" s="9">
        <v>295000</v>
      </c>
      <c r="J207" s="10">
        <f t="shared" si="3"/>
        <v>17571353</v>
      </c>
      <c r="K207" s="6" t="s">
        <v>794</v>
      </c>
    </row>
    <row r="208" spans="1:11" x14ac:dyDescent="0.25">
      <c r="A208" s="4">
        <v>206</v>
      </c>
      <c r="B208" s="5">
        <v>45912</v>
      </c>
      <c r="C208" s="5">
        <v>45912</v>
      </c>
      <c r="D208" s="6" t="s">
        <v>383</v>
      </c>
      <c r="E208" s="6" t="s">
        <v>384</v>
      </c>
      <c r="F208" s="7" t="s">
        <v>659</v>
      </c>
      <c r="G208" s="11" t="s">
        <v>657</v>
      </c>
      <c r="H208" s="9">
        <v>85000</v>
      </c>
      <c r="I208" s="9"/>
      <c r="J208" s="10">
        <f t="shared" si="3"/>
        <v>17486353</v>
      </c>
      <c r="K208" s="6" t="s">
        <v>683</v>
      </c>
    </row>
    <row r="209" spans="1:11" x14ac:dyDescent="0.25">
      <c r="A209" s="4">
        <v>207</v>
      </c>
      <c r="B209" s="5">
        <v>45912</v>
      </c>
      <c r="C209" s="5">
        <v>45912</v>
      </c>
      <c r="D209" s="6" t="s">
        <v>385</v>
      </c>
      <c r="E209" s="6" t="s">
        <v>386</v>
      </c>
      <c r="F209" s="7" t="s">
        <v>659</v>
      </c>
      <c r="G209" s="11" t="s">
        <v>657</v>
      </c>
      <c r="H209" s="9">
        <v>18000</v>
      </c>
      <c r="I209" s="9"/>
      <c r="J209" s="10">
        <f t="shared" si="3"/>
        <v>17468353</v>
      </c>
      <c r="K209" s="6" t="s">
        <v>683</v>
      </c>
    </row>
    <row r="210" spans="1:11" x14ac:dyDescent="0.25">
      <c r="A210" s="4">
        <v>208</v>
      </c>
      <c r="B210" s="5">
        <v>45915</v>
      </c>
      <c r="C210" s="5">
        <v>45915</v>
      </c>
      <c r="D210" s="6" t="s">
        <v>387</v>
      </c>
      <c r="E210" s="6" t="s">
        <v>388</v>
      </c>
      <c r="F210" s="7" t="s">
        <v>658</v>
      </c>
      <c r="G210" s="8" t="s">
        <v>655</v>
      </c>
      <c r="H210" s="9"/>
      <c r="I210" s="9">
        <v>35400</v>
      </c>
      <c r="J210" s="10">
        <f t="shared" si="3"/>
        <v>17503753</v>
      </c>
      <c r="K210" s="6" t="s">
        <v>795</v>
      </c>
    </row>
    <row r="211" spans="1:11" x14ac:dyDescent="0.25">
      <c r="A211" s="4">
        <v>209</v>
      </c>
      <c r="B211" s="5">
        <v>45915</v>
      </c>
      <c r="C211" s="5">
        <v>45915</v>
      </c>
      <c r="D211" s="6" t="s">
        <v>389</v>
      </c>
      <c r="E211" s="6" t="s">
        <v>390</v>
      </c>
      <c r="F211" s="7" t="s">
        <v>659</v>
      </c>
      <c r="G211" s="11" t="s">
        <v>657</v>
      </c>
      <c r="H211" s="9">
        <v>200000</v>
      </c>
      <c r="I211" s="9"/>
      <c r="J211" s="10">
        <f t="shared" si="3"/>
        <v>17303753</v>
      </c>
      <c r="K211" s="6" t="s">
        <v>683</v>
      </c>
    </row>
    <row r="212" spans="1:11" x14ac:dyDescent="0.25">
      <c r="A212" s="4">
        <v>210</v>
      </c>
      <c r="B212" s="5">
        <v>45915</v>
      </c>
      <c r="C212" s="5">
        <v>45915</v>
      </c>
      <c r="D212" s="6" t="s">
        <v>391</v>
      </c>
      <c r="E212" s="6" t="s">
        <v>392</v>
      </c>
      <c r="F212" s="7" t="s">
        <v>659</v>
      </c>
      <c r="G212" s="8" t="s">
        <v>655</v>
      </c>
      <c r="H212" s="9"/>
      <c r="I212" s="9">
        <v>17700</v>
      </c>
      <c r="J212" s="10">
        <f t="shared" si="3"/>
        <v>17321453</v>
      </c>
      <c r="K212" s="6" t="s">
        <v>796</v>
      </c>
    </row>
    <row r="213" spans="1:11" x14ac:dyDescent="0.25">
      <c r="A213" s="4">
        <v>211</v>
      </c>
      <c r="B213" s="5">
        <v>45916</v>
      </c>
      <c r="C213" s="5">
        <v>45916</v>
      </c>
      <c r="D213" s="6" t="s">
        <v>393</v>
      </c>
      <c r="E213" s="6" t="s">
        <v>109</v>
      </c>
      <c r="F213" s="7" t="s">
        <v>659</v>
      </c>
      <c r="G213" s="8" t="s">
        <v>655</v>
      </c>
      <c r="H213" s="9"/>
      <c r="I213" s="9">
        <v>354000</v>
      </c>
      <c r="J213" s="10">
        <f t="shared" si="3"/>
        <v>17675453</v>
      </c>
      <c r="K213" s="6" t="s">
        <v>797</v>
      </c>
    </row>
    <row r="214" spans="1:11" x14ac:dyDescent="0.25">
      <c r="A214" s="12">
        <v>212</v>
      </c>
      <c r="B214" s="13">
        <v>45916</v>
      </c>
      <c r="C214" s="13">
        <v>45916</v>
      </c>
      <c r="D214" s="14" t="s">
        <v>394</v>
      </c>
      <c r="E214" s="14" t="s">
        <v>395</v>
      </c>
      <c r="F214" s="15" t="s">
        <v>659</v>
      </c>
      <c r="G214" s="16" t="s">
        <v>655</v>
      </c>
      <c r="H214" s="17"/>
      <c r="I214" s="17">
        <v>648000</v>
      </c>
      <c r="J214" s="18">
        <f t="shared" si="3"/>
        <v>18323453</v>
      </c>
      <c r="K214" s="14" t="s">
        <v>798</v>
      </c>
    </row>
    <row r="215" spans="1:11" x14ac:dyDescent="0.25">
      <c r="A215" s="4">
        <v>213</v>
      </c>
      <c r="B215" s="5">
        <v>45917</v>
      </c>
      <c r="C215" s="5">
        <v>45917</v>
      </c>
      <c r="D215" s="6" t="s">
        <v>396</v>
      </c>
      <c r="E215" s="6" t="s">
        <v>397</v>
      </c>
      <c r="F215" s="7" t="s">
        <v>659</v>
      </c>
      <c r="G215" s="11" t="s">
        <v>657</v>
      </c>
      <c r="H215" s="9">
        <v>320000</v>
      </c>
      <c r="I215" s="9"/>
      <c r="J215" s="10">
        <f t="shared" si="3"/>
        <v>18003453</v>
      </c>
      <c r="K215" s="6" t="s">
        <v>683</v>
      </c>
    </row>
    <row r="216" spans="1:11" x14ac:dyDescent="0.25">
      <c r="A216" s="26">
        <v>214</v>
      </c>
      <c r="B216" s="27">
        <v>45919</v>
      </c>
      <c r="C216" s="27">
        <v>45919</v>
      </c>
      <c r="D216" s="28" t="s">
        <v>398</v>
      </c>
      <c r="E216" s="28" t="s">
        <v>399</v>
      </c>
      <c r="F216" s="29" t="s">
        <v>659</v>
      </c>
      <c r="G216" s="30" t="s">
        <v>655</v>
      </c>
      <c r="H216" s="31"/>
      <c r="I216" s="31">
        <v>50000</v>
      </c>
      <c r="J216" s="32">
        <f t="shared" si="3"/>
        <v>18053453</v>
      </c>
      <c r="K216" s="28" t="s">
        <v>723</v>
      </c>
    </row>
    <row r="217" spans="1:11" x14ac:dyDescent="0.25">
      <c r="A217" s="4">
        <v>215</v>
      </c>
      <c r="B217" s="5">
        <v>45920</v>
      </c>
      <c r="C217" s="5">
        <v>45920</v>
      </c>
      <c r="D217" s="6" t="s">
        <v>400</v>
      </c>
      <c r="E217" s="6" t="s">
        <v>401</v>
      </c>
      <c r="F217" s="7" t="s">
        <v>659</v>
      </c>
      <c r="G217" s="8" t="s">
        <v>655</v>
      </c>
      <c r="H217" s="9"/>
      <c r="I217" s="9">
        <v>8850</v>
      </c>
      <c r="J217" s="10">
        <f t="shared" si="3"/>
        <v>18062303</v>
      </c>
      <c r="K217" s="6" t="s">
        <v>799</v>
      </c>
    </row>
    <row r="218" spans="1:11" x14ac:dyDescent="0.25">
      <c r="A218" s="12">
        <v>216</v>
      </c>
      <c r="B218" s="13">
        <v>45921</v>
      </c>
      <c r="C218" s="13">
        <v>45921</v>
      </c>
      <c r="D218" s="14" t="s">
        <v>402</v>
      </c>
      <c r="E218" s="14" t="s">
        <v>178</v>
      </c>
      <c r="F218" s="15" t="s">
        <v>659</v>
      </c>
      <c r="G218" s="16" t="s">
        <v>655</v>
      </c>
      <c r="H218" s="17"/>
      <c r="I218" s="17">
        <v>216000</v>
      </c>
      <c r="J218" s="18">
        <f t="shared" si="3"/>
        <v>18278303</v>
      </c>
      <c r="K218" s="14" t="s">
        <v>800</v>
      </c>
    </row>
    <row r="219" spans="1:11" x14ac:dyDescent="0.25">
      <c r="A219" s="12">
        <v>217</v>
      </c>
      <c r="B219" s="13">
        <v>45921</v>
      </c>
      <c r="C219" s="13">
        <v>45921</v>
      </c>
      <c r="D219" s="14" t="s">
        <v>403</v>
      </c>
      <c r="E219" s="14" t="s">
        <v>47</v>
      </c>
      <c r="F219" s="15" t="s">
        <v>659</v>
      </c>
      <c r="G219" s="16" t="s">
        <v>655</v>
      </c>
      <c r="H219" s="17"/>
      <c r="I219" s="17">
        <v>540000</v>
      </c>
      <c r="J219" s="18">
        <f t="shared" si="3"/>
        <v>18818303</v>
      </c>
      <c r="K219" s="14" t="s">
        <v>801</v>
      </c>
    </row>
    <row r="220" spans="1:11" x14ac:dyDescent="0.25">
      <c r="A220" s="4">
        <v>218</v>
      </c>
      <c r="B220" s="5">
        <v>45922</v>
      </c>
      <c r="C220" s="5">
        <v>45922</v>
      </c>
      <c r="D220" s="6" t="s">
        <v>404</v>
      </c>
      <c r="E220" s="6" t="s">
        <v>405</v>
      </c>
      <c r="F220" s="7" t="s">
        <v>659</v>
      </c>
      <c r="G220" s="8" t="s">
        <v>655</v>
      </c>
      <c r="H220" s="9"/>
      <c r="I220" s="9">
        <v>82600</v>
      </c>
      <c r="J220" s="10">
        <f t="shared" si="3"/>
        <v>18900903</v>
      </c>
      <c r="K220" s="6" t="s">
        <v>802</v>
      </c>
    </row>
    <row r="221" spans="1:11" x14ac:dyDescent="0.25">
      <c r="A221" s="26">
        <v>219</v>
      </c>
      <c r="B221" s="27">
        <v>45923</v>
      </c>
      <c r="C221" s="27">
        <v>45923</v>
      </c>
      <c r="D221" s="28" t="s">
        <v>406</v>
      </c>
      <c r="E221" s="28" t="s">
        <v>407</v>
      </c>
      <c r="F221" s="29" t="s">
        <v>659</v>
      </c>
      <c r="G221" s="30" t="s">
        <v>655</v>
      </c>
      <c r="H221" s="31"/>
      <c r="I221" s="31">
        <v>30000</v>
      </c>
      <c r="J221" s="32">
        <f t="shared" si="3"/>
        <v>18930903</v>
      </c>
      <c r="K221" s="28" t="s">
        <v>723</v>
      </c>
    </row>
    <row r="222" spans="1:11" x14ac:dyDescent="0.25">
      <c r="A222" s="4">
        <v>220</v>
      </c>
      <c r="B222" s="5">
        <v>45923</v>
      </c>
      <c r="C222" s="5">
        <v>45923</v>
      </c>
      <c r="D222" s="6" t="s">
        <v>408</v>
      </c>
      <c r="E222" s="6" t="s">
        <v>409</v>
      </c>
      <c r="F222" s="7" t="s">
        <v>659</v>
      </c>
      <c r="G222" s="11" t="s">
        <v>657</v>
      </c>
      <c r="H222" s="9">
        <v>25000</v>
      </c>
      <c r="I222" s="9"/>
      <c r="J222" s="10">
        <f t="shared" si="3"/>
        <v>18905903</v>
      </c>
      <c r="K222" s="6" t="s">
        <v>675</v>
      </c>
    </row>
    <row r="223" spans="1:11" x14ac:dyDescent="0.25">
      <c r="A223" s="4">
        <v>221</v>
      </c>
      <c r="B223" s="5">
        <v>45924</v>
      </c>
      <c r="C223" s="5">
        <v>45924</v>
      </c>
      <c r="D223" s="6" t="s">
        <v>410</v>
      </c>
      <c r="E223" s="6" t="s">
        <v>411</v>
      </c>
      <c r="F223" s="7" t="s">
        <v>659</v>
      </c>
      <c r="G223" s="11" t="s">
        <v>657</v>
      </c>
      <c r="H223" s="9">
        <v>15000</v>
      </c>
      <c r="I223" s="9"/>
      <c r="J223" s="10">
        <f t="shared" si="3"/>
        <v>18890903</v>
      </c>
      <c r="K223" s="6" t="s">
        <v>675</v>
      </c>
    </row>
    <row r="224" spans="1:11" x14ac:dyDescent="0.25">
      <c r="A224" s="4">
        <v>222</v>
      </c>
      <c r="B224" s="5">
        <v>45925</v>
      </c>
      <c r="C224" s="5">
        <v>45925</v>
      </c>
      <c r="D224" s="6" t="s">
        <v>412</v>
      </c>
      <c r="E224" s="6" t="s">
        <v>413</v>
      </c>
      <c r="F224" s="7" t="s">
        <v>659</v>
      </c>
      <c r="G224" s="11" t="s">
        <v>657</v>
      </c>
      <c r="H224" s="9">
        <v>850000</v>
      </c>
      <c r="I224" s="9"/>
      <c r="J224" s="10">
        <f t="shared" si="3"/>
        <v>18040903</v>
      </c>
      <c r="K224" s="6" t="s">
        <v>688</v>
      </c>
    </row>
    <row r="225" spans="1:11" x14ac:dyDescent="0.25">
      <c r="A225" s="4">
        <v>223</v>
      </c>
      <c r="B225" s="5">
        <v>45926</v>
      </c>
      <c r="C225" s="5">
        <v>45926</v>
      </c>
      <c r="D225" s="6" t="s">
        <v>414</v>
      </c>
      <c r="E225" s="6" t="s">
        <v>415</v>
      </c>
      <c r="F225" s="7" t="s">
        <v>665</v>
      </c>
      <c r="G225" s="11" t="s">
        <v>657</v>
      </c>
      <c r="H225" s="9">
        <v>500000</v>
      </c>
      <c r="I225" s="9"/>
      <c r="J225" s="10">
        <f t="shared" si="3"/>
        <v>17540903</v>
      </c>
      <c r="K225" s="6" t="s">
        <v>803</v>
      </c>
    </row>
    <row r="226" spans="1:11" x14ac:dyDescent="0.25">
      <c r="A226" s="4">
        <v>224</v>
      </c>
      <c r="B226" s="5">
        <v>45928</v>
      </c>
      <c r="C226" s="5">
        <v>45928</v>
      </c>
      <c r="D226" s="6" t="s">
        <v>416</v>
      </c>
      <c r="E226" s="6" t="s">
        <v>417</v>
      </c>
      <c r="F226" s="7" t="s">
        <v>654</v>
      </c>
      <c r="G226" s="8" t="s">
        <v>655</v>
      </c>
      <c r="H226" s="9"/>
      <c r="I226" s="9">
        <v>18500</v>
      </c>
      <c r="J226" s="10">
        <f t="shared" si="3"/>
        <v>17559403</v>
      </c>
      <c r="K226" s="6" t="s">
        <v>668</v>
      </c>
    </row>
    <row r="227" spans="1:11" x14ac:dyDescent="0.25">
      <c r="A227" s="4">
        <v>225</v>
      </c>
      <c r="B227" s="5">
        <v>45928</v>
      </c>
      <c r="C227" s="5">
        <v>45928</v>
      </c>
      <c r="D227" s="6" t="s">
        <v>418</v>
      </c>
      <c r="E227" s="6" t="s">
        <v>417</v>
      </c>
      <c r="F227" s="7" t="s">
        <v>654</v>
      </c>
      <c r="G227" s="8" t="s">
        <v>655</v>
      </c>
      <c r="H227" s="9"/>
      <c r="I227" s="9">
        <v>22000</v>
      </c>
      <c r="J227" s="10">
        <f t="shared" si="3"/>
        <v>17581403</v>
      </c>
      <c r="K227" s="6" t="s">
        <v>668</v>
      </c>
    </row>
    <row r="228" spans="1:11" x14ac:dyDescent="0.25">
      <c r="A228" s="4">
        <v>226</v>
      </c>
      <c r="B228" s="5">
        <v>45928</v>
      </c>
      <c r="C228" s="5">
        <v>45928</v>
      </c>
      <c r="D228" s="6" t="s">
        <v>419</v>
      </c>
      <c r="E228" s="6" t="s">
        <v>420</v>
      </c>
      <c r="F228" s="7" t="s">
        <v>656</v>
      </c>
      <c r="G228" s="11" t="s">
        <v>657</v>
      </c>
      <c r="H228" s="9">
        <v>2400</v>
      </c>
      <c r="I228" s="9"/>
      <c r="J228" s="10">
        <f t="shared" si="3"/>
        <v>17579003</v>
      </c>
      <c r="K228" s="6" t="s">
        <v>669</v>
      </c>
    </row>
    <row r="229" spans="1:11" x14ac:dyDescent="0.25">
      <c r="A229" s="4">
        <v>227</v>
      </c>
      <c r="B229" s="5">
        <v>45928</v>
      </c>
      <c r="C229" s="5">
        <v>45928</v>
      </c>
      <c r="D229" s="6" t="s">
        <v>421</v>
      </c>
      <c r="E229" s="6" t="s">
        <v>422</v>
      </c>
      <c r="F229" s="7" t="s">
        <v>656</v>
      </c>
      <c r="G229" s="11" t="s">
        <v>657</v>
      </c>
      <c r="H229" s="9">
        <v>432</v>
      </c>
      <c r="I229" s="9"/>
      <c r="J229" s="10">
        <f t="shared" si="3"/>
        <v>17578571</v>
      </c>
      <c r="K229" s="6" t="s">
        <v>669</v>
      </c>
    </row>
    <row r="230" spans="1:11" x14ac:dyDescent="0.25">
      <c r="A230" s="4">
        <v>228</v>
      </c>
      <c r="B230" s="5">
        <v>45928</v>
      </c>
      <c r="C230" s="5">
        <v>45928</v>
      </c>
      <c r="D230" s="6" t="s">
        <v>423</v>
      </c>
      <c r="E230" s="6" t="s">
        <v>424</v>
      </c>
      <c r="F230" s="7" t="s">
        <v>659</v>
      </c>
      <c r="G230" s="11" t="s">
        <v>657</v>
      </c>
      <c r="H230" s="9">
        <v>150000</v>
      </c>
      <c r="I230" s="9"/>
      <c r="J230" s="10">
        <f t="shared" si="3"/>
        <v>17428571</v>
      </c>
      <c r="K230" s="6" t="s">
        <v>675</v>
      </c>
    </row>
    <row r="231" spans="1:11" x14ac:dyDescent="0.25">
      <c r="A231" s="4">
        <v>229</v>
      </c>
      <c r="B231" s="5">
        <v>45934</v>
      </c>
      <c r="C231" s="5">
        <v>45934</v>
      </c>
      <c r="D231" s="6" t="s">
        <v>425</v>
      </c>
      <c r="E231" s="6" t="s">
        <v>253</v>
      </c>
      <c r="F231" s="7" t="s">
        <v>659</v>
      </c>
      <c r="G231" s="8" t="s">
        <v>655</v>
      </c>
      <c r="H231" s="9"/>
      <c r="I231" s="9">
        <v>295000</v>
      </c>
      <c r="J231" s="10">
        <f t="shared" si="3"/>
        <v>17723571</v>
      </c>
      <c r="K231" s="6" t="s">
        <v>804</v>
      </c>
    </row>
    <row r="232" spans="1:11" x14ac:dyDescent="0.25">
      <c r="A232" s="4">
        <v>230</v>
      </c>
      <c r="B232" s="5">
        <v>45935</v>
      </c>
      <c r="C232" s="5">
        <v>45935</v>
      </c>
      <c r="D232" s="6" t="s">
        <v>426</v>
      </c>
      <c r="E232" s="6" t="s">
        <v>427</v>
      </c>
      <c r="F232" s="7" t="s">
        <v>659</v>
      </c>
      <c r="G232" s="11" t="s">
        <v>657</v>
      </c>
      <c r="H232" s="9">
        <v>20000</v>
      </c>
      <c r="I232" s="9"/>
      <c r="J232" s="10">
        <f t="shared" si="3"/>
        <v>17703571</v>
      </c>
      <c r="K232" s="6" t="s">
        <v>759</v>
      </c>
    </row>
    <row r="233" spans="1:11" x14ac:dyDescent="0.25">
      <c r="A233" s="33">
        <v>231</v>
      </c>
      <c r="B233" s="34">
        <v>45936</v>
      </c>
      <c r="C233" s="34">
        <v>45936</v>
      </c>
      <c r="D233" s="35" t="s">
        <v>428</v>
      </c>
      <c r="E233" s="35" t="s">
        <v>429</v>
      </c>
      <c r="F233" s="36" t="s">
        <v>663</v>
      </c>
      <c r="G233" s="37" t="s">
        <v>655</v>
      </c>
      <c r="H233" s="38"/>
      <c r="I233" s="38">
        <v>250000</v>
      </c>
      <c r="J233" s="39">
        <f t="shared" si="3"/>
        <v>17953571</v>
      </c>
      <c r="K233" s="35" t="s">
        <v>805</v>
      </c>
    </row>
    <row r="234" spans="1:11" x14ac:dyDescent="0.25">
      <c r="A234" s="4">
        <v>232</v>
      </c>
      <c r="B234" s="5">
        <v>45937</v>
      </c>
      <c r="C234" s="5">
        <v>45937</v>
      </c>
      <c r="D234" s="6" t="s">
        <v>430</v>
      </c>
      <c r="E234" s="6" t="s">
        <v>431</v>
      </c>
      <c r="F234" s="7" t="s">
        <v>659</v>
      </c>
      <c r="G234" s="11" t="s">
        <v>657</v>
      </c>
      <c r="H234" s="9">
        <v>150000</v>
      </c>
      <c r="I234" s="9"/>
      <c r="J234" s="10">
        <f t="shared" si="3"/>
        <v>17803571</v>
      </c>
      <c r="K234" s="6" t="s">
        <v>683</v>
      </c>
    </row>
    <row r="235" spans="1:11" x14ac:dyDescent="0.25">
      <c r="A235" s="33">
        <v>233</v>
      </c>
      <c r="B235" s="34">
        <v>45938</v>
      </c>
      <c r="C235" s="34">
        <v>45938</v>
      </c>
      <c r="D235" s="35" t="s">
        <v>432</v>
      </c>
      <c r="E235" s="35" t="s">
        <v>433</v>
      </c>
      <c r="F235" s="36" t="s">
        <v>663</v>
      </c>
      <c r="G235" s="37" t="s">
        <v>655</v>
      </c>
      <c r="H235" s="38"/>
      <c r="I235" s="38">
        <v>150000</v>
      </c>
      <c r="J235" s="39">
        <f t="shared" si="3"/>
        <v>17953571</v>
      </c>
      <c r="K235" s="35" t="s">
        <v>806</v>
      </c>
    </row>
    <row r="236" spans="1:11" x14ac:dyDescent="0.25">
      <c r="A236" s="33">
        <v>234</v>
      </c>
      <c r="B236" s="34">
        <v>45938</v>
      </c>
      <c r="C236" s="34">
        <v>45938</v>
      </c>
      <c r="D236" s="35" t="s">
        <v>434</v>
      </c>
      <c r="E236" s="35" t="s">
        <v>435</v>
      </c>
      <c r="F236" s="36" t="s">
        <v>663</v>
      </c>
      <c r="G236" s="37" t="s">
        <v>655</v>
      </c>
      <c r="H236" s="38"/>
      <c r="I236" s="38">
        <v>200000</v>
      </c>
      <c r="J236" s="39">
        <f t="shared" si="3"/>
        <v>18153571</v>
      </c>
      <c r="K236" s="35" t="s">
        <v>807</v>
      </c>
    </row>
    <row r="237" spans="1:11" x14ac:dyDescent="0.25">
      <c r="A237" s="33">
        <v>235</v>
      </c>
      <c r="B237" s="34">
        <v>45938</v>
      </c>
      <c r="C237" s="34">
        <v>45938</v>
      </c>
      <c r="D237" s="35" t="s">
        <v>436</v>
      </c>
      <c r="E237" s="35" t="s">
        <v>437</v>
      </c>
      <c r="F237" s="36" t="s">
        <v>664</v>
      </c>
      <c r="G237" s="40" t="s">
        <v>657</v>
      </c>
      <c r="H237" s="38">
        <v>250000</v>
      </c>
      <c r="I237" s="38"/>
      <c r="J237" s="39">
        <f t="shared" si="3"/>
        <v>17903571</v>
      </c>
      <c r="K237" s="35" t="s">
        <v>805</v>
      </c>
    </row>
    <row r="238" spans="1:11" x14ac:dyDescent="0.25">
      <c r="A238" s="4">
        <v>236</v>
      </c>
      <c r="B238" s="5">
        <v>45938</v>
      </c>
      <c r="C238" s="5">
        <v>45938</v>
      </c>
      <c r="D238" s="6" t="s">
        <v>438</v>
      </c>
      <c r="E238" s="6" t="s">
        <v>439</v>
      </c>
      <c r="F238" s="7" t="s">
        <v>656</v>
      </c>
      <c r="G238" s="11" t="s">
        <v>657</v>
      </c>
      <c r="H238" s="9">
        <v>885</v>
      </c>
      <c r="I238" s="9"/>
      <c r="J238" s="10">
        <f t="shared" si="3"/>
        <v>17902686</v>
      </c>
      <c r="K238" s="6" t="s">
        <v>808</v>
      </c>
    </row>
    <row r="239" spans="1:11" x14ac:dyDescent="0.25">
      <c r="A239" s="19">
        <v>237</v>
      </c>
      <c r="B239" s="20">
        <v>45938</v>
      </c>
      <c r="C239" s="20">
        <v>45938</v>
      </c>
      <c r="D239" s="21" t="s">
        <v>440</v>
      </c>
      <c r="E239" s="21" t="s">
        <v>441</v>
      </c>
      <c r="F239" s="22" t="s">
        <v>658</v>
      </c>
      <c r="G239" s="23" t="s">
        <v>655</v>
      </c>
      <c r="H239" s="24"/>
      <c r="I239" s="24">
        <v>150000</v>
      </c>
      <c r="J239" s="25">
        <f t="shared" si="3"/>
        <v>18052686</v>
      </c>
      <c r="K239" s="21" t="s">
        <v>809</v>
      </c>
    </row>
    <row r="240" spans="1:11" x14ac:dyDescent="0.25">
      <c r="A240" s="33">
        <v>238</v>
      </c>
      <c r="B240" s="34">
        <v>45940</v>
      </c>
      <c r="C240" s="34">
        <v>45940</v>
      </c>
      <c r="D240" s="35" t="s">
        <v>442</v>
      </c>
      <c r="E240" s="35" t="s">
        <v>443</v>
      </c>
      <c r="F240" s="36" t="s">
        <v>664</v>
      </c>
      <c r="G240" s="40" t="s">
        <v>657</v>
      </c>
      <c r="H240" s="38">
        <v>150000</v>
      </c>
      <c r="I240" s="38"/>
      <c r="J240" s="39">
        <f t="shared" si="3"/>
        <v>17902686</v>
      </c>
      <c r="K240" s="35" t="s">
        <v>806</v>
      </c>
    </row>
    <row r="241" spans="1:11" x14ac:dyDescent="0.25">
      <c r="A241" s="4">
        <v>239</v>
      </c>
      <c r="B241" s="5">
        <v>45940</v>
      </c>
      <c r="C241" s="5">
        <v>45940</v>
      </c>
      <c r="D241" s="6" t="s">
        <v>444</v>
      </c>
      <c r="E241" s="6" t="s">
        <v>445</v>
      </c>
      <c r="F241" s="7" t="s">
        <v>656</v>
      </c>
      <c r="G241" s="11" t="s">
        <v>657</v>
      </c>
      <c r="H241" s="9">
        <v>2360</v>
      </c>
      <c r="I241" s="9"/>
      <c r="J241" s="10">
        <f t="shared" si="3"/>
        <v>17900326</v>
      </c>
      <c r="K241" s="6" t="s">
        <v>810</v>
      </c>
    </row>
    <row r="242" spans="1:11" x14ac:dyDescent="0.25">
      <c r="A242" s="33">
        <v>240</v>
      </c>
      <c r="B242" s="34">
        <v>45940</v>
      </c>
      <c r="C242" s="34">
        <v>45940</v>
      </c>
      <c r="D242" s="35" t="s">
        <v>446</v>
      </c>
      <c r="E242" s="35" t="s">
        <v>447</v>
      </c>
      <c r="F242" s="36" t="s">
        <v>664</v>
      </c>
      <c r="G242" s="40" t="s">
        <v>657</v>
      </c>
      <c r="H242" s="38">
        <v>200000</v>
      </c>
      <c r="I242" s="38"/>
      <c r="J242" s="39">
        <f t="shared" si="3"/>
        <v>17700326</v>
      </c>
      <c r="K242" s="35" t="s">
        <v>807</v>
      </c>
    </row>
    <row r="243" spans="1:11" x14ac:dyDescent="0.25">
      <c r="A243" s="4">
        <v>241</v>
      </c>
      <c r="B243" s="5">
        <v>45940</v>
      </c>
      <c r="C243" s="5">
        <v>45940</v>
      </c>
      <c r="D243" s="6" t="s">
        <v>448</v>
      </c>
      <c r="E243" s="6" t="s">
        <v>449</v>
      </c>
      <c r="F243" s="7" t="s">
        <v>656</v>
      </c>
      <c r="G243" s="11" t="s">
        <v>657</v>
      </c>
      <c r="H243" s="9">
        <v>1180</v>
      </c>
      <c r="I243" s="9"/>
      <c r="J243" s="10">
        <f t="shared" si="3"/>
        <v>17699146</v>
      </c>
      <c r="K243" s="6" t="s">
        <v>811</v>
      </c>
    </row>
    <row r="244" spans="1:11" x14ac:dyDescent="0.25">
      <c r="A244" s="33">
        <v>242</v>
      </c>
      <c r="B244" s="34">
        <v>45940</v>
      </c>
      <c r="C244" s="34">
        <v>45940</v>
      </c>
      <c r="D244" s="35" t="s">
        <v>450</v>
      </c>
      <c r="E244" s="35" t="s">
        <v>451</v>
      </c>
      <c r="F244" s="36" t="s">
        <v>663</v>
      </c>
      <c r="G244" s="37" t="s">
        <v>655</v>
      </c>
      <c r="H244" s="38"/>
      <c r="I244" s="38">
        <v>200000</v>
      </c>
      <c r="J244" s="39">
        <f t="shared" si="3"/>
        <v>17899146</v>
      </c>
      <c r="K244" s="35" t="s">
        <v>812</v>
      </c>
    </row>
    <row r="245" spans="1:11" x14ac:dyDescent="0.25">
      <c r="A245" s="4">
        <v>243</v>
      </c>
      <c r="B245" s="5">
        <v>45941</v>
      </c>
      <c r="C245" s="5">
        <v>45941</v>
      </c>
      <c r="D245" s="6" t="s">
        <v>452</v>
      </c>
      <c r="E245" s="6" t="s">
        <v>453</v>
      </c>
      <c r="F245" s="7" t="s">
        <v>658</v>
      </c>
      <c r="G245" s="8" t="s">
        <v>655</v>
      </c>
      <c r="H245" s="9"/>
      <c r="I245" s="9">
        <v>35400</v>
      </c>
      <c r="J245" s="10">
        <f t="shared" si="3"/>
        <v>17934546</v>
      </c>
      <c r="K245" s="6" t="s">
        <v>813</v>
      </c>
    </row>
    <row r="246" spans="1:11" x14ac:dyDescent="0.25">
      <c r="A246" s="19">
        <v>244</v>
      </c>
      <c r="B246" s="20">
        <v>45941</v>
      </c>
      <c r="C246" s="20">
        <v>45941</v>
      </c>
      <c r="D246" s="21" t="s">
        <v>454</v>
      </c>
      <c r="E246" s="21" t="s">
        <v>455</v>
      </c>
      <c r="F246" s="22" t="s">
        <v>658</v>
      </c>
      <c r="G246" s="23" t="s">
        <v>655</v>
      </c>
      <c r="H246" s="24"/>
      <c r="I246" s="24">
        <v>100000</v>
      </c>
      <c r="J246" s="25">
        <f t="shared" si="3"/>
        <v>18034546</v>
      </c>
      <c r="K246" s="21" t="s">
        <v>814</v>
      </c>
    </row>
    <row r="247" spans="1:11" x14ac:dyDescent="0.25">
      <c r="A247" s="4">
        <v>245</v>
      </c>
      <c r="B247" s="5">
        <v>45942</v>
      </c>
      <c r="C247" s="5">
        <v>45942</v>
      </c>
      <c r="D247" s="6" t="s">
        <v>456</v>
      </c>
      <c r="E247" s="6" t="s">
        <v>111</v>
      </c>
      <c r="F247" s="7" t="s">
        <v>658</v>
      </c>
      <c r="G247" s="8" t="s">
        <v>655</v>
      </c>
      <c r="H247" s="9"/>
      <c r="I247" s="9">
        <v>236000</v>
      </c>
      <c r="J247" s="10">
        <f t="shared" si="3"/>
        <v>18270546</v>
      </c>
      <c r="K247" s="6" t="s">
        <v>815</v>
      </c>
    </row>
    <row r="248" spans="1:11" x14ac:dyDescent="0.25">
      <c r="A248" s="33">
        <v>246</v>
      </c>
      <c r="B248" s="34">
        <v>45942</v>
      </c>
      <c r="C248" s="34">
        <v>45942</v>
      </c>
      <c r="D248" s="35" t="s">
        <v>457</v>
      </c>
      <c r="E248" s="35" t="s">
        <v>458</v>
      </c>
      <c r="F248" s="36" t="s">
        <v>664</v>
      </c>
      <c r="G248" s="40" t="s">
        <v>657</v>
      </c>
      <c r="H248" s="38">
        <v>200000</v>
      </c>
      <c r="I248" s="38"/>
      <c r="J248" s="39">
        <f t="shared" si="3"/>
        <v>18070546</v>
      </c>
      <c r="K248" s="35" t="s">
        <v>812</v>
      </c>
    </row>
    <row r="249" spans="1:11" x14ac:dyDescent="0.25">
      <c r="A249" s="4">
        <v>247</v>
      </c>
      <c r="B249" s="5">
        <v>45942</v>
      </c>
      <c r="C249" s="5">
        <v>45942</v>
      </c>
      <c r="D249" s="6" t="s">
        <v>459</v>
      </c>
      <c r="E249" s="6" t="s">
        <v>460</v>
      </c>
      <c r="F249" s="7" t="s">
        <v>656</v>
      </c>
      <c r="G249" s="11" t="s">
        <v>657</v>
      </c>
      <c r="H249" s="9">
        <v>1770</v>
      </c>
      <c r="I249" s="9"/>
      <c r="J249" s="10">
        <f t="shared" si="3"/>
        <v>18068776</v>
      </c>
      <c r="K249" s="6" t="s">
        <v>816</v>
      </c>
    </row>
    <row r="250" spans="1:11" x14ac:dyDescent="0.25">
      <c r="A250" s="12">
        <v>248</v>
      </c>
      <c r="B250" s="13">
        <v>45942</v>
      </c>
      <c r="C250" s="13">
        <v>45942</v>
      </c>
      <c r="D250" s="14" t="s">
        <v>461</v>
      </c>
      <c r="E250" s="14" t="s">
        <v>19</v>
      </c>
      <c r="F250" s="15" t="s">
        <v>659</v>
      </c>
      <c r="G250" s="16" t="s">
        <v>655</v>
      </c>
      <c r="H250" s="17"/>
      <c r="I250" s="17">
        <v>216000</v>
      </c>
      <c r="J250" s="18">
        <f t="shared" si="3"/>
        <v>18284776</v>
      </c>
      <c r="K250" s="14" t="s">
        <v>817</v>
      </c>
    </row>
    <row r="251" spans="1:11" x14ac:dyDescent="0.25">
      <c r="A251" s="4">
        <v>249</v>
      </c>
      <c r="B251" s="5">
        <v>45943</v>
      </c>
      <c r="C251" s="5">
        <v>45943</v>
      </c>
      <c r="D251" s="6" t="s">
        <v>462</v>
      </c>
      <c r="E251" s="6" t="s">
        <v>463</v>
      </c>
      <c r="F251" s="7" t="s">
        <v>659</v>
      </c>
      <c r="G251" s="8" t="s">
        <v>655</v>
      </c>
      <c r="H251" s="9"/>
      <c r="I251" s="9">
        <v>11800</v>
      </c>
      <c r="J251" s="10">
        <f t="shared" si="3"/>
        <v>18296576</v>
      </c>
      <c r="K251" s="6" t="s">
        <v>818</v>
      </c>
    </row>
    <row r="252" spans="1:11" x14ac:dyDescent="0.25">
      <c r="A252" s="4">
        <v>250</v>
      </c>
      <c r="B252" s="5">
        <v>45946</v>
      </c>
      <c r="C252" s="5">
        <v>45946</v>
      </c>
      <c r="D252" s="6" t="s">
        <v>464</v>
      </c>
      <c r="E252" s="6" t="s">
        <v>232</v>
      </c>
      <c r="F252" s="7" t="s">
        <v>659</v>
      </c>
      <c r="G252" s="8" t="s">
        <v>655</v>
      </c>
      <c r="H252" s="9"/>
      <c r="I252" s="9">
        <v>118000</v>
      </c>
      <c r="J252" s="10">
        <f t="shared" si="3"/>
        <v>18414576</v>
      </c>
      <c r="K252" s="6" t="s">
        <v>712</v>
      </c>
    </row>
    <row r="253" spans="1:11" x14ac:dyDescent="0.25">
      <c r="A253" s="4">
        <v>251</v>
      </c>
      <c r="B253" s="5">
        <v>45946</v>
      </c>
      <c r="C253" s="5">
        <v>45946</v>
      </c>
      <c r="D253" s="6" t="s">
        <v>465</v>
      </c>
      <c r="E253" s="6" t="s">
        <v>466</v>
      </c>
      <c r="F253" s="7" t="s">
        <v>658</v>
      </c>
      <c r="G253" s="8" t="s">
        <v>655</v>
      </c>
      <c r="H253" s="9"/>
      <c r="I253" s="9">
        <v>35400</v>
      </c>
      <c r="J253" s="10">
        <f t="shared" si="3"/>
        <v>18449976</v>
      </c>
      <c r="K253" s="6" t="s">
        <v>819</v>
      </c>
    </row>
    <row r="254" spans="1:11" x14ac:dyDescent="0.25">
      <c r="A254" s="4">
        <v>252</v>
      </c>
      <c r="B254" s="5">
        <v>45946</v>
      </c>
      <c r="C254" s="5">
        <v>45946</v>
      </c>
      <c r="D254" s="6" t="s">
        <v>467</v>
      </c>
      <c r="E254" s="6" t="s">
        <v>468</v>
      </c>
      <c r="F254" s="7" t="s">
        <v>659</v>
      </c>
      <c r="G254" s="8" t="s">
        <v>655</v>
      </c>
      <c r="H254" s="9"/>
      <c r="I254" s="9">
        <v>5900</v>
      </c>
      <c r="J254" s="10">
        <f t="shared" si="3"/>
        <v>18455876</v>
      </c>
      <c r="K254" s="6" t="s">
        <v>820</v>
      </c>
    </row>
    <row r="255" spans="1:11" x14ac:dyDescent="0.25">
      <c r="A255" s="4">
        <v>253</v>
      </c>
      <c r="B255" s="5">
        <v>45946</v>
      </c>
      <c r="C255" s="5">
        <v>45946</v>
      </c>
      <c r="D255" s="6" t="s">
        <v>469</v>
      </c>
      <c r="E255" s="6" t="s">
        <v>470</v>
      </c>
      <c r="F255" s="7" t="s">
        <v>658</v>
      </c>
      <c r="G255" s="8" t="s">
        <v>655</v>
      </c>
      <c r="H255" s="9"/>
      <c r="I255" s="9">
        <v>500000</v>
      </c>
      <c r="J255" s="10">
        <f t="shared" si="3"/>
        <v>18955876</v>
      </c>
      <c r="K255" s="6" t="s">
        <v>671</v>
      </c>
    </row>
    <row r="256" spans="1:11" x14ac:dyDescent="0.25">
      <c r="A256" s="4">
        <v>254</v>
      </c>
      <c r="B256" s="5">
        <v>45947</v>
      </c>
      <c r="C256" s="5">
        <v>45947</v>
      </c>
      <c r="D256" s="6" t="s">
        <v>471</v>
      </c>
      <c r="E256" s="6" t="s">
        <v>472</v>
      </c>
      <c r="F256" s="7" t="s">
        <v>659</v>
      </c>
      <c r="G256" s="11" t="s">
        <v>657</v>
      </c>
      <c r="H256" s="9">
        <v>400000</v>
      </c>
      <c r="I256" s="9"/>
      <c r="J256" s="10">
        <f t="shared" si="3"/>
        <v>18555876</v>
      </c>
      <c r="K256" s="6" t="s">
        <v>683</v>
      </c>
    </row>
    <row r="257" spans="1:11" x14ac:dyDescent="0.25">
      <c r="A257" s="19">
        <v>255</v>
      </c>
      <c r="B257" s="20">
        <v>45947</v>
      </c>
      <c r="C257" s="20">
        <v>45947</v>
      </c>
      <c r="D257" s="21" t="s">
        <v>473</v>
      </c>
      <c r="E257" s="21" t="s">
        <v>474</v>
      </c>
      <c r="F257" s="22" t="s">
        <v>658</v>
      </c>
      <c r="G257" s="23" t="s">
        <v>655</v>
      </c>
      <c r="H257" s="24"/>
      <c r="I257" s="24">
        <v>100000</v>
      </c>
      <c r="J257" s="25">
        <f t="shared" si="3"/>
        <v>18655876</v>
      </c>
      <c r="K257" s="21" t="s">
        <v>821</v>
      </c>
    </row>
    <row r="258" spans="1:11" x14ac:dyDescent="0.25">
      <c r="A258" s="12">
        <v>256</v>
      </c>
      <c r="B258" s="13">
        <v>45948</v>
      </c>
      <c r="C258" s="13">
        <v>45948</v>
      </c>
      <c r="D258" s="14" t="s">
        <v>475</v>
      </c>
      <c r="E258" s="14" t="s">
        <v>476</v>
      </c>
      <c r="F258" s="15" t="s">
        <v>659</v>
      </c>
      <c r="G258" s="16" t="s">
        <v>655</v>
      </c>
      <c r="H258" s="17"/>
      <c r="I258" s="17">
        <v>540000</v>
      </c>
      <c r="J258" s="18">
        <f t="shared" si="3"/>
        <v>19195876</v>
      </c>
      <c r="K258" s="14" t="s">
        <v>822</v>
      </c>
    </row>
    <row r="259" spans="1:11" x14ac:dyDescent="0.25">
      <c r="A259" s="4">
        <v>257</v>
      </c>
      <c r="B259" s="5">
        <v>45949</v>
      </c>
      <c r="C259" s="5">
        <v>45949</v>
      </c>
      <c r="D259" s="6" t="s">
        <v>477</v>
      </c>
      <c r="E259" s="6" t="s">
        <v>267</v>
      </c>
      <c r="F259" s="7" t="s">
        <v>658</v>
      </c>
      <c r="G259" s="8" t="s">
        <v>655</v>
      </c>
      <c r="H259" s="9"/>
      <c r="I259" s="9">
        <v>88500</v>
      </c>
      <c r="J259" s="10">
        <f t="shared" ref="J259:J322" si="4">J258+I259-H259</f>
        <v>19284376</v>
      </c>
      <c r="K259" s="6" t="s">
        <v>823</v>
      </c>
    </row>
    <row r="260" spans="1:11" x14ac:dyDescent="0.25">
      <c r="A260" s="4">
        <v>258</v>
      </c>
      <c r="B260" s="5">
        <v>45952</v>
      </c>
      <c r="C260" s="5">
        <v>45952</v>
      </c>
      <c r="D260" s="6" t="s">
        <v>478</v>
      </c>
      <c r="E260" s="6" t="s">
        <v>479</v>
      </c>
      <c r="F260" s="7" t="s">
        <v>659</v>
      </c>
      <c r="G260" s="8" t="s">
        <v>655</v>
      </c>
      <c r="H260" s="9"/>
      <c r="I260" s="9">
        <v>59000</v>
      </c>
      <c r="J260" s="10">
        <f t="shared" si="4"/>
        <v>19343376</v>
      </c>
      <c r="K260" s="6" t="s">
        <v>824</v>
      </c>
    </row>
    <row r="261" spans="1:11" x14ac:dyDescent="0.25">
      <c r="A261" s="12">
        <v>259</v>
      </c>
      <c r="B261" s="13">
        <v>45952</v>
      </c>
      <c r="C261" s="13">
        <v>45952</v>
      </c>
      <c r="D261" s="14" t="s">
        <v>480</v>
      </c>
      <c r="E261" s="14" t="s">
        <v>481</v>
      </c>
      <c r="F261" s="15" t="s">
        <v>659</v>
      </c>
      <c r="G261" s="16" t="s">
        <v>655</v>
      </c>
      <c r="H261" s="17"/>
      <c r="I261" s="17">
        <v>540000</v>
      </c>
      <c r="J261" s="18">
        <f t="shared" si="4"/>
        <v>19883376</v>
      </c>
      <c r="K261" s="14" t="s">
        <v>825</v>
      </c>
    </row>
    <row r="262" spans="1:11" x14ac:dyDescent="0.25">
      <c r="A262" s="4">
        <v>260</v>
      </c>
      <c r="B262" s="5">
        <v>45955</v>
      </c>
      <c r="C262" s="5">
        <v>45955</v>
      </c>
      <c r="D262" s="6" t="s">
        <v>482</v>
      </c>
      <c r="E262" s="6" t="s">
        <v>483</v>
      </c>
      <c r="F262" s="7" t="s">
        <v>659</v>
      </c>
      <c r="G262" s="11" t="s">
        <v>657</v>
      </c>
      <c r="H262" s="9">
        <v>925000</v>
      </c>
      <c r="I262" s="9"/>
      <c r="J262" s="10">
        <f t="shared" si="4"/>
        <v>18958376</v>
      </c>
      <c r="K262" s="6" t="s">
        <v>688</v>
      </c>
    </row>
    <row r="263" spans="1:11" x14ac:dyDescent="0.25">
      <c r="A263" s="4">
        <v>261</v>
      </c>
      <c r="B263" s="5">
        <v>45957</v>
      </c>
      <c r="C263" s="5">
        <v>45957</v>
      </c>
      <c r="D263" s="6" t="s">
        <v>484</v>
      </c>
      <c r="E263" s="6" t="s">
        <v>109</v>
      </c>
      <c r="F263" s="7" t="s">
        <v>659</v>
      </c>
      <c r="G263" s="8" t="s">
        <v>655</v>
      </c>
      <c r="H263" s="9"/>
      <c r="I263" s="9">
        <v>118000</v>
      </c>
      <c r="J263" s="10">
        <f t="shared" si="4"/>
        <v>19076376</v>
      </c>
      <c r="K263" s="6" t="s">
        <v>826</v>
      </c>
    </row>
    <row r="264" spans="1:11" x14ac:dyDescent="0.25">
      <c r="A264" s="4">
        <v>262</v>
      </c>
      <c r="B264" s="5">
        <v>45957</v>
      </c>
      <c r="C264" s="5">
        <v>45957</v>
      </c>
      <c r="D264" s="6" t="s">
        <v>485</v>
      </c>
      <c r="E264" s="6" t="s">
        <v>17</v>
      </c>
      <c r="F264" s="7" t="s">
        <v>659</v>
      </c>
      <c r="G264" s="8" t="s">
        <v>655</v>
      </c>
      <c r="H264" s="9"/>
      <c r="I264" s="9">
        <v>177000</v>
      </c>
      <c r="J264" s="10">
        <f t="shared" si="4"/>
        <v>19253376</v>
      </c>
      <c r="K264" s="6" t="s">
        <v>827</v>
      </c>
    </row>
    <row r="265" spans="1:11" x14ac:dyDescent="0.25">
      <c r="A265" s="12">
        <v>263</v>
      </c>
      <c r="B265" s="13">
        <v>45957</v>
      </c>
      <c r="C265" s="13">
        <v>45957</v>
      </c>
      <c r="D265" s="14" t="s">
        <v>486</v>
      </c>
      <c r="E265" s="14" t="s">
        <v>395</v>
      </c>
      <c r="F265" s="15" t="s">
        <v>659</v>
      </c>
      <c r="G265" s="16" t="s">
        <v>655</v>
      </c>
      <c r="H265" s="17"/>
      <c r="I265" s="17">
        <v>216000</v>
      </c>
      <c r="J265" s="18">
        <f t="shared" si="4"/>
        <v>19469376</v>
      </c>
      <c r="K265" s="14" t="s">
        <v>828</v>
      </c>
    </row>
    <row r="266" spans="1:11" x14ac:dyDescent="0.25">
      <c r="A266" s="4">
        <v>264</v>
      </c>
      <c r="B266" s="5">
        <v>45958</v>
      </c>
      <c r="C266" s="5">
        <v>45958</v>
      </c>
      <c r="D266" s="6" t="s">
        <v>487</v>
      </c>
      <c r="E266" s="6" t="s">
        <v>488</v>
      </c>
      <c r="F266" s="7" t="s">
        <v>654</v>
      </c>
      <c r="G266" s="8" t="s">
        <v>655</v>
      </c>
      <c r="H266" s="9"/>
      <c r="I266" s="9">
        <v>18500</v>
      </c>
      <c r="J266" s="10">
        <f t="shared" si="4"/>
        <v>19487876</v>
      </c>
      <c r="K266" s="6" t="s">
        <v>668</v>
      </c>
    </row>
    <row r="267" spans="1:11" x14ac:dyDescent="0.25">
      <c r="A267" s="4">
        <v>265</v>
      </c>
      <c r="B267" s="5">
        <v>45958</v>
      </c>
      <c r="C267" s="5">
        <v>45958</v>
      </c>
      <c r="D267" s="6" t="s">
        <v>489</v>
      </c>
      <c r="E267" s="6" t="s">
        <v>488</v>
      </c>
      <c r="F267" s="7" t="s">
        <v>654</v>
      </c>
      <c r="G267" s="8" t="s">
        <v>655</v>
      </c>
      <c r="H267" s="9"/>
      <c r="I267" s="9">
        <v>22000</v>
      </c>
      <c r="J267" s="10">
        <f t="shared" si="4"/>
        <v>19509876</v>
      </c>
      <c r="K267" s="6" t="s">
        <v>668</v>
      </c>
    </row>
    <row r="268" spans="1:11" x14ac:dyDescent="0.25">
      <c r="A268" s="4">
        <v>266</v>
      </c>
      <c r="B268" s="5">
        <v>45958</v>
      </c>
      <c r="C268" s="5">
        <v>45958</v>
      </c>
      <c r="D268" s="6" t="s">
        <v>490</v>
      </c>
      <c r="E268" s="6" t="s">
        <v>491</v>
      </c>
      <c r="F268" s="7" t="s">
        <v>656</v>
      </c>
      <c r="G268" s="11" t="s">
        <v>657</v>
      </c>
      <c r="H268" s="9">
        <v>2200</v>
      </c>
      <c r="I268" s="9"/>
      <c r="J268" s="10">
        <f t="shared" si="4"/>
        <v>19507676</v>
      </c>
      <c r="K268" s="6" t="s">
        <v>669</v>
      </c>
    </row>
    <row r="269" spans="1:11" x14ac:dyDescent="0.25">
      <c r="A269" s="4">
        <v>267</v>
      </c>
      <c r="B269" s="5">
        <v>45958</v>
      </c>
      <c r="C269" s="5">
        <v>45958</v>
      </c>
      <c r="D269" s="6" t="s">
        <v>492</v>
      </c>
      <c r="E269" s="6" t="s">
        <v>493</v>
      </c>
      <c r="F269" s="7" t="s">
        <v>656</v>
      </c>
      <c r="G269" s="11" t="s">
        <v>657</v>
      </c>
      <c r="H269" s="9">
        <v>396</v>
      </c>
      <c r="I269" s="9"/>
      <c r="J269" s="10">
        <f t="shared" si="4"/>
        <v>19507280</v>
      </c>
      <c r="K269" s="6" t="s">
        <v>669</v>
      </c>
    </row>
    <row r="270" spans="1:11" x14ac:dyDescent="0.25">
      <c r="A270" s="4">
        <v>268</v>
      </c>
      <c r="B270" s="5">
        <v>45958</v>
      </c>
      <c r="C270" s="5">
        <v>45958</v>
      </c>
      <c r="D270" s="6" t="s">
        <v>494</v>
      </c>
      <c r="E270" s="6" t="s">
        <v>495</v>
      </c>
      <c r="F270" s="7" t="s">
        <v>659</v>
      </c>
      <c r="G270" s="11" t="s">
        <v>657</v>
      </c>
      <c r="H270" s="9">
        <v>150000</v>
      </c>
      <c r="I270" s="9"/>
      <c r="J270" s="10">
        <f t="shared" si="4"/>
        <v>19357280</v>
      </c>
      <c r="K270" s="6" t="s">
        <v>675</v>
      </c>
    </row>
    <row r="271" spans="1:11" x14ac:dyDescent="0.25">
      <c r="A271" s="12">
        <v>269</v>
      </c>
      <c r="B271" s="13">
        <v>45959</v>
      </c>
      <c r="C271" s="13">
        <v>45959</v>
      </c>
      <c r="D271" s="14" t="s">
        <v>496</v>
      </c>
      <c r="E271" s="14" t="s">
        <v>253</v>
      </c>
      <c r="F271" s="15" t="s">
        <v>659</v>
      </c>
      <c r="G271" s="16" t="s">
        <v>655</v>
      </c>
      <c r="H271" s="17"/>
      <c r="I271" s="17">
        <v>295000</v>
      </c>
      <c r="J271" s="18">
        <f t="shared" si="4"/>
        <v>19652280</v>
      </c>
      <c r="K271" s="14" t="s">
        <v>829</v>
      </c>
    </row>
    <row r="272" spans="1:11" x14ac:dyDescent="0.25">
      <c r="A272" s="12">
        <v>270</v>
      </c>
      <c r="B272" s="13">
        <v>45959</v>
      </c>
      <c r="C272" s="13">
        <v>45959</v>
      </c>
      <c r="D272" s="14" t="s">
        <v>497</v>
      </c>
      <c r="E272" s="14" t="s">
        <v>111</v>
      </c>
      <c r="F272" s="15" t="s">
        <v>659</v>
      </c>
      <c r="G272" s="16" t="s">
        <v>655</v>
      </c>
      <c r="H272" s="17"/>
      <c r="I272" s="17">
        <v>44250</v>
      </c>
      <c r="J272" s="18">
        <f t="shared" si="4"/>
        <v>19696530</v>
      </c>
      <c r="K272" s="14" t="s">
        <v>830</v>
      </c>
    </row>
    <row r="273" spans="1:11" x14ac:dyDescent="0.25">
      <c r="A273" s="26">
        <v>271</v>
      </c>
      <c r="B273" s="27">
        <v>45960</v>
      </c>
      <c r="C273" s="27">
        <v>45960</v>
      </c>
      <c r="D273" s="28" t="s">
        <v>498</v>
      </c>
      <c r="E273" s="28" t="s">
        <v>499</v>
      </c>
      <c r="F273" s="29" t="s">
        <v>659</v>
      </c>
      <c r="G273" s="30" t="s">
        <v>655</v>
      </c>
      <c r="H273" s="31"/>
      <c r="I273" s="31">
        <v>30000</v>
      </c>
      <c r="J273" s="32">
        <f t="shared" si="4"/>
        <v>19726530</v>
      </c>
      <c r="K273" s="28" t="s">
        <v>723</v>
      </c>
    </row>
    <row r="274" spans="1:11" x14ac:dyDescent="0.25">
      <c r="A274" s="4">
        <v>272</v>
      </c>
      <c r="B274" s="5">
        <v>45962</v>
      </c>
      <c r="C274" s="5">
        <v>45962</v>
      </c>
      <c r="D274" s="6" t="s">
        <v>500</v>
      </c>
      <c r="E274" s="6" t="s">
        <v>501</v>
      </c>
      <c r="F274" s="7" t="s">
        <v>659</v>
      </c>
      <c r="G274" s="8" t="s">
        <v>655</v>
      </c>
      <c r="H274" s="9"/>
      <c r="I274" s="9">
        <v>147500</v>
      </c>
      <c r="J274" s="10">
        <f t="shared" si="4"/>
        <v>19874030</v>
      </c>
      <c r="K274" s="6" t="s">
        <v>831</v>
      </c>
    </row>
    <row r="275" spans="1:11" x14ac:dyDescent="0.25">
      <c r="A275" s="33">
        <v>273</v>
      </c>
      <c r="B275" s="34">
        <v>45964</v>
      </c>
      <c r="C275" s="34">
        <v>45964</v>
      </c>
      <c r="D275" s="35" t="s">
        <v>502</v>
      </c>
      <c r="E275" s="35" t="s">
        <v>503</v>
      </c>
      <c r="F275" s="36" t="s">
        <v>663</v>
      </c>
      <c r="G275" s="37" t="s">
        <v>655</v>
      </c>
      <c r="H275" s="38"/>
      <c r="I275" s="38">
        <v>200000</v>
      </c>
      <c r="J275" s="39">
        <f t="shared" si="4"/>
        <v>20074030</v>
      </c>
      <c r="K275" s="35" t="s">
        <v>832</v>
      </c>
    </row>
    <row r="276" spans="1:11" x14ac:dyDescent="0.25">
      <c r="A276" s="4">
        <v>274</v>
      </c>
      <c r="B276" s="5">
        <v>45965</v>
      </c>
      <c r="C276" s="5">
        <v>45965</v>
      </c>
      <c r="D276" s="6" t="s">
        <v>504</v>
      </c>
      <c r="E276" s="6" t="s">
        <v>505</v>
      </c>
      <c r="F276" s="7" t="s">
        <v>659</v>
      </c>
      <c r="G276" s="11" t="s">
        <v>657</v>
      </c>
      <c r="H276" s="9">
        <v>50000</v>
      </c>
      <c r="I276" s="9"/>
      <c r="J276" s="10">
        <f t="shared" si="4"/>
        <v>20024030</v>
      </c>
      <c r="K276" s="6" t="s">
        <v>675</v>
      </c>
    </row>
    <row r="277" spans="1:11" x14ac:dyDescent="0.25">
      <c r="A277" s="33">
        <v>275</v>
      </c>
      <c r="B277" s="34">
        <v>45966</v>
      </c>
      <c r="C277" s="34">
        <v>45966</v>
      </c>
      <c r="D277" s="35" t="s">
        <v>506</v>
      </c>
      <c r="E277" s="35" t="s">
        <v>507</v>
      </c>
      <c r="F277" s="36" t="s">
        <v>664</v>
      </c>
      <c r="G277" s="40" t="s">
        <v>657</v>
      </c>
      <c r="H277" s="38">
        <v>200000</v>
      </c>
      <c r="I277" s="38"/>
      <c r="J277" s="39">
        <f t="shared" si="4"/>
        <v>19824030</v>
      </c>
      <c r="K277" s="35" t="s">
        <v>832</v>
      </c>
    </row>
    <row r="278" spans="1:11" x14ac:dyDescent="0.25">
      <c r="A278" s="4">
        <v>276</v>
      </c>
      <c r="B278" s="5">
        <v>45966</v>
      </c>
      <c r="C278" s="5">
        <v>45966</v>
      </c>
      <c r="D278" s="6" t="s">
        <v>508</v>
      </c>
      <c r="E278" s="6" t="s">
        <v>509</v>
      </c>
      <c r="F278" s="7" t="s">
        <v>656</v>
      </c>
      <c r="G278" s="11" t="s">
        <v>657</v>
      </c>
      <c r="H278" s="9">
        <v>885</v>
      </c>
      <c r="I278" s="9"/>
      <c r="J278" s="10">
        <f t="shared" si="4"/>
        <v>19823145</v>
      </c>
      <c r="K278" s="6" t="s">
        <v>833</v>
      </c>
    </row>
    <row r="279" spans="1:11" x14ac:dyDescent="0.25">
      <c r="A279" s="12">
        <v>277</v>
      </c>
      <c r="B279" s="13">
        <v>45966</v>
      </c>
      <c r="C279" s="13">
        <v>45966</v>
      </c>
      <c r="D279" s="14" t="s">
        <v>510</v>
      </c>
      <c r="E279" s="14" t="s">
        <v>89</v>
      </c>
      <c r="F279" s="15" t="s">
        <v>659</v>
      </c>
      <c r="G279" s="16" t="s">
        <v>655</v>
      </c>
      <c r="H279" s="17"/>
      <c r="I279" s="17">
        <v>216000</v>
      </c>
      <c r="J279" s="18">
        <f t="shared" si="4"/>
        <v>20039145</v>
      </c>
      <c r="K279" s="14" t="s">
        <v>834</v>
      </c>
    </row>
    <row r="280" spans="1:11" x14ac:dyDescent="0.25">
      <c r="A280" s="12">
        <v>278</v>
      </c>
      <c r="B280" s="13">
        <v>45967</v>
      </c>
      <c r="C280" s="13">
        <v>45967</v>
      </c>
      <c r="D280" s="14" t="s">
        <v>511</v>
      </c>
      <c r="E280" s="14" t="s">
        <v>109</v>
      </c>
      <c r="F280" s="15" t="s">
        <v>659</v>
      </c>
      <c r="G280" s="16" t="s">
        <v>655</v>
      </c>
      <c r="H280" s="17"/>
      <c r="I280" s="17">
        <v>295000</v>
      </c>
      <c r="J280" s="18">
        <f t="shared" si="4"/>
        <v>20334145</v>
      </c>
      <c r="K280" s="14" t="s">
        <v>835</v>
      </c>
    </row>
    <row r="281" spans="1:11" x14ac:dyDescent="0.25">
      <c r="A281" s="4">
        <v>279</v>
      </c>
      <c r="B281" s="5">
        <v>45971</v>
      </c>
      <c r="C281" s="5">
        <v>45971</v>
      </c>
      <c r="D281" s="6" t="s">
        <v>512</v>
      </c>
      <c r="E281" s="6" t="s">
        <v>513</v>
      </c>
      <c r="F281" s="7" t="s">
        <v>659</v>
      </c>
      <c r="G281" s="11" t="s">
        <v>657</v>
      </c>
      <c r="H281" s="9">
        <v>12000</v>
      </c>
      <c r="I281" s="9"/>
      <c r="J281" s="10">
        <f t="shared" si="4"/>
        <v>20322145</v>
      </c>
      <c r="K281" s="6" t="s">
        <v>719</v>
      </c>
    </row>
    <row r="282" spans="1:11" x14ac:dyDescent="0.25">
      <c r="A282" s="4">
        <v>280</v>
      </c>
      <c r="B282" s="5">
        <v>45971</v>
      </c>
      <c r="C282" s="5">
        <v>45971</v>
      </c>
      <c r="D282" s="6" t="s">
        <v>514</v>
      </c>
      <c r="E282" s="6" t="s">
        <v>515</v>
      </c>
      <c r="F282" s="7" t="s">
        <v>659</v>
      </c>
      <c r="G282" s="11" t="s">
        <v>657</v>
      </c>
      <c r="H282" s="9">
        <v>10000</v>
      </c>
      <c r="I282" s="9"/>
      <c r="J282" s="10">
        <f t="shared" si="4"/>
        <v>20312145</v>
      </c>
      <c r="K282" s="6" t="s">
        <v>675</v>
      </c>
    </row>
    <row r="283" spans="1:11" x14ac:dyDescent="0.25">
      <c r="A283" s="4">
        <v>281</v>
      </c>
      <c r="B283" s="5">
        <v>45973</v>
      </c>
      <c r="C283" s="5">
        <v>45973</v>
      </c>
      <c r="D283" s="6" t="s">
        <v>516</v>
      </c>
      <c r="E283" s="6" t="s">
        <v>517</v>
      </c>
      <c r="F283" s="7" t="s">
        <v>659</v>
      </c>
      <c r="G283" s="8" t="s">
        <v>655</v>
      </c>
      <c r="H283" s="9"/>
      <c r="I283" s="9">
        <v>118000</v>
      </c>
      <c r="J283" s="10">
        <f t="shared" si="4"/>
        <v>20430145</v>
      </c>
      <c r="K283" s="6" t="s">
        <v>836</v>
      </c>
    </row>
    <row r="284" spans="1:11" x14ac:dyDescent="0.25">
      <c r="A284" s="4">
        <v>282</v>
      </c>
      <c r="B284" s="5">
        <v>45973</v>
      </c>
      <c r="C284" s="5">
        <v>45973</v>
      </c>
      <c r="D284" s="6" t="s">
        <v>518</v>
      </c>
      <c r="E284" s="6" t="s">
        <v>519</v>
      </c>
      <c r="F284" s="7" t="s">
        <v>659</v>
      </c>
      <c r="G284" s="8" t="s">
        <v>655</v>
      </c>
      <c r="H284" s="9"/>
      <c r="I284" s="9">
        <v>8850</v>
      </c>
      <c r="J284" s="10">
        <f t="shared" si="4"/>
        <v>20438995</v>
      </c>
      <c r="K284" s="6" t="s">
        <v>837</v>
      </c>
    </row>
    <row r="285" spans="1:11" x14ac:dyDescent="0.25">
      <c r="A285" s="4">
        <v>283</v>
      </c>
      <c r="B285" s="5">
        <v>45974</v>
      </c>
      <c r="C285" s="5">
        <v>45974</v>
      </c>
      <c r="D285" s="6" t="s">
        <v>520</v>
      </c>
      <c r="E285" s="6" t="s">
        <v>521</v>
      </c>
      <c r="F285" s="7" t="s">
        <v>659</v>
      </c>
      <c r="G285" s="8" t="s">
        <v>655</v>
      </c>
      <c r="H285" s="9"/>
      <c r="I285" s="9">
        <v>11800</v>
      </c>
      <c r="J285" s="10">
        <f t="shared" si="4"/>
        <v>20450795</v>
      </c>
      <c r="K285" s="6" t="s">
        <v>838</v>
      </c>
    </row>
    <row r="286" spans="1:11" x14ac:dyDescent="0.25">
      <c r="A286" s="4">
        <v>284</v>
      </c>
      <c r="B286" s="5">
        <v>45977</v>
      </c>
      <c r="C286" s="5">
        <v>45977</v>
      </c>
      <c r="D286" s="6" t="s">
        <v>522</v>
      </c>
      <c r="E286" s="6" t="s">
        <v>523</v>
      </c>
      <c r="F286" s="7" t="s">
        <v>659</v>
      </c>
      <c r="G286" s="11" t="s">
        <v>657</v>
      </c>
      <c r="H286" s="9">
        <v>350000</v>
      </c>
      <c r="I286" s="9"/>
      <c r="J286" s="10">
        <f t="shared" si="4"/>
        <v>20100795</v>
      </c>
      <c r="K286" s="6" t="s">
        <v>683</v>
      </c>
    </row>
    <row r="287" spans="1:11" x14ac:dyDescent="0.25">
      <c r="A287" s="4">
        <v>285</v>
      </c>
      <c r="B287" s="5">
        <v>45980</v>
      </c>
      <c r="C287" s="5">
        <v>45980</v>
      </c>
      <c r="D287" s="6" t="s">
        <v>524</v>
      </c>
      <c r="E287" s="6" t="s">
        <v>525</v>
      </c>
      <c r="F287" s="7" t="s">
        <v>659</v>
      </c>
      <c r="G287" s="11" t="s">
        <v>657</v>
      </c>
      <c r="H287" s="9">
        <v>20000</v>
      </c>
      <c r="I287" s="9"/>
      <c r="J287" s="10">
        <f t="shared" si="4"/>
        <v>20080795</v>
      </c>
      <c r="K287" s="6" t="s">
        <v>719</v>
      </c>
    </row>
    <row r="288" spans="1:11" x14ac:dyDescent="0.25">
      <c r="A288" s="4">
        <v>286</v>
      </c>
      <c r="B288" s="5">
        <v>45983</v>
      </c>
      <c r="C288" s="5">
        <v>45983</v>
      </c>
      <c r="D288" s="6" t="s">
        <v>526</v>
      </c>
      <c r="E288" s="6" t="s">
        <v>527</v>
      </c>
      <c r="F288" s="7" t="s">
        <v>659</v>
      </c>
      <c r="G288" s="8" t="s">
        <v>655</v>
      </c>
      <c r="H288" s="9"/>
      <c r="I288" s="9">
        <v>59000</v>
      </c>
      <c r="J288" s="10">
        <f t="shared" si="4"/>
        <v>20139795</v>
      </c>
      <c r="K288" s="6" t="s">
        <v>839</v>
      </c>
    </row>
    <row r="289" spans="1:11" x14ac:dyDescent="0.25">
      <c r="A289" s="4">
        <v>287</v>
      </c>
      <c r="B289" s="5">
        <v>45985</v>
      </c>
      <c r="C289" s="5">
        <v>45985</v>
      </c>
      <c r="D289" s="6" t="s">
        <v>528</v>
      </c>
      <c r="E289" s="6" t="s">
        <v>529</v>
      </c>
      <c r="F289" s="7" t="s">
        <v>659</v>
      </c>
      <c r="G289" s="11" t="s">
        <v>657</v>
      </c>
      <c r="H289" s="9">
        <v>900000</v>
      </c>
      <c r="I289" s="9"/>
      <c r="J289" s="10">
        <f t="shared" si="4"/>
        <v>19239795</v>
      </c>
      <c r="K289" s="6" t="s">
        <v>688</v>
      </c>
    </row>
    <row r="290" spans="1:11" x14ac:dyDescent="0.25">
      <c r="A290" s="12">
        <v>288</v>
      </c>
      <c r="B290" s="13">
        <v>45988</v>
      </c>
      <c r="C290" s="13">
        <v>45988</v>
      </c>
      <c r="D290" s="14" t="s">
        <v>530</v>
      </c>
      <c r="E290" s="14" t="s">
        <v>531</v>
      </c>
      <c r="F290" s="15" t="s">
        <v>659</v>
      </c>
      <c r="G290" s="16" t="s">
        <v>655</v>
      </c>
      <c r="H290" s="17"/>
      <c r="I290" s="17">
        <v>324000</v>
      </c>
      <c r="J290" s="18">
        <f t="shared" si="4"/>
        <v>19563795</v>
      </c>
      <c r="K290" s="14" t="s">
        <v>840</v>
      </c>
    </row>
    <row r="291" spans="1:11" x14ac:dyDescent="0.25">
      <c r="A291" s="4">
        <v>289</v>
      </c>
      <c r="B291" s="5">
        <v>45988</v>
      </c>
      <c r="C291" s="5">
        <v>45988</v>
      </c>
      <c r="D291" s="6" t="s">
        <v>532</v>
      </c>
      <c r="E291" s="6" t="s">
        <v>533</v>
      </c>
      <c r="F291" s="7" t="s">
        <v>654</v>
      </c>
      <c r="G291" s="8" t="s">
        <v>655</v>
      </c>
      <c r="H291" s="9"/>
      <c r="I291" s="9">
        <v>18500</v>
      </c>
      <c r="J291" s="10">
        <f t="shared" si="4"/>
        <v>19582295</v>
      </c>
      <c r="K291" s="6" t="s">
        <v>668</v>
      </c>
    </row>
    <row r="292" spans="1:11" x14ac:dyDescent="0.25">
      <c r="A292" s="4">
        <v>290</v>
      </c>
      <c r="B292" s="5">
        <v>45988</v>
      </c>
      <c r="C292" s="5">
        <v>45988</v>
      </c>
      <c r="D292" s="6" t="s">
        <v>534</v>
      </c>
      <c r="E292" s="6" t="s">
        <v>533</v>
      </c>
      <c r="F292" s="7" t="s">
        <v>654</v>
      </c>
      <c r="G292" s="8" t="s">
        <v>655</v>
      </c>
      <c r="H292" s="9"/>
      <c r="I292" s="9">
        <v>22000</v>
      </c>
      <c r="J292" s="10">
        <f t="shared" si="4"/>
        <v>19604295</v>
      </c>
      <c r="K292" s="6" t="s">
        <v>668</v>
      </c>
    </row>
    <row r="293" spans="1:11" x14ac:dyDescent="0.25">
      <c r="A293" s="4">
        <v>291</v>
      </c>
      <c r="B293" s="5">
        <v>45988</v>
      </c>
      <c r="C293" s="5">
        <v>45988</v>
      </c>
      <c r="D293" s="6" t="s">
        <v>535</v>
      </c>
      <c r="E293" s="6" t="s">
        <v>536</v>
      </c>
      <c r="F293" s="7" t="s">
        <v>656</v>
      </c>
      <c r="G293" s="11" t="s">
        <v>657</v>
      </c>
      <c r="H293" s="9">
        <v>2400</v>
      </c>
      <c r="I293" s="9"/>
      <c r="J293" s="10">
        <f t="shared" si="4"/>
        <v>19601895</v>
      </c>
      <c r="K293" s="6" t="s">
        <v>669</v>
      </c>
    </row>
    <row r="294" spans="1:11" x14ac:dyDescent="0.25">
      <c r="A294" s="4">
        <v>292</v>
      </c>
      <c r="B294" s="5">
        <v>45988</v>
      </c>
      <c r="C294" s="5">
        <v>45988</v>
      </c>
      <c r="D294" s="6" t="s">
        <v>537</v>
      </c>
      <c r="E294" s="6" t="s">
        <v>538</v>
      </c>
      <c r="F294" s="7" t="s">
        <v>656</v>
      </c>
      <c r="G294" s="11" t="s">
        <v>657</v>
      </c>
      <c r="H294" s="9">
        <v>432</v>
      </c>
      <c r="I294" s="9"/>
      <c r="J294" s="10">
        <f t="shared" si="4"/>
        <v>19601463</v>
      </c>
      <c r="K294" s="6" t="s">
        <v>669</v>
      </c>
    </row>
    <row r="295" spans="1:11" x14ac:dyDescent="0.25">
      <c r="A295" s="4">
        <v>293</v>
      </c>
      <c r="B295" s="5">
        <v>45988</v>
      </c>
      <c r="C295" s="5">
        <v>45988</v>
      </c>
      <c r="D295" s="6" t="s">
        <v>539</v>
      </c>
      <c r="E295" s="6" t="s">
        <v>540</v>
      </c>
      <c r="F295" s="7" t="s">
        <v>659</v>
      </c>
      <c r="G295" s="11" t="s">
        <v>657</v>
      </c>
      <c r="H295" s="9">
        <v>150000</v>
      </c>
      <c r="I295" s="9"/>
      <c r="J295" s="10">
        <f t="shared" si="4"/>
        <v>19451463</v>
      </c>
      <c r="K295" s="6" t="s">
        <v>675</v>
      </c>
    </row>
    <row r="296" spans="1:11" x14ac:dyDescent="0.25">
      <c r="A296" s="4">
        <v>294</v>
      </c>
      <c r="B296" s="5">
        <v>45988</v>
      </c>
      <c r="C296" s="5">
        <v>45988</v>
      </c>
      <c r="D296" s="6" t="s">
        <v>541</v>
      </c>
      <c r="E296" s="6" t="s">
        <v>542</v>
      </c>
      <c r="F296" s="7" t="s">
        <v>658</v>
      </c>
      <c r="G296" s="8" t="s">
        <v>655</v>
      </c>
      <c r="H296" s="9"/>
      <c r="I296" s="9">
        <v>500000</v>
      </c>
      <c r="J296" s="10">
        <f t="shared" si="4"/>
        <v>19951463</v>
      </c>
      <c r="K296" s="6" t="s">
        <v>671</v>
      </c>
    </row>
    <row r="297" spans="1:11" x14ac:dyDescent="0.25">
      <c r="A297" s="19">
        <v>295</v>
      </c>
      <c r="B297" s="20">
        <v>45991</v>
      </c>
      <c r="C297" s="20">
        <v>45991</v>
      </c>
      <c r="D297" s="21" t="s">
        <v>543</v>
      </c>
      <c r="E297" s="21" t="s">
        <v>544</v>
      </c>
      <c r="F297" s="22" t="s">
        <v>658</v>
      </c>
      <c r="G297" s="23" t="s">
        <v>655</v>
      </c>
      <c r="H297" s="24"/>
      <c r="I297" s="24">
        <v>120000</v>
      </c>
      <c r="J297" s="25">
        <f t="shared" si="4"/>
        <v>20071463</v>
      </c>
      <c r="K297" s="21" t="s">
        <v>841</v>
      </c>
    </row>
    <row r="298" spans="1:11" x14ac:dyDescent="0.25">
      <c r="A298" s="4">
        <v>296</v>
      </c>
      <c r="B298" s="5">
        <v>45993</v>
      </c>
      <c r="C298" s="5">
        <v>45993</v>
      </c>
      <c r="D298" s="6" t="s">
        <v>545</v>
      </c>
      <c r="E298" s="6" t="s">
        <v>546</v>
      </c>
      <c r="F298" s="7" t="s">
        <v>665</v>
      </c>
      <c r="G298" s="11" t="s">
        <v>657</v>
      </c>
      <c r="H298" s="9">
        <v>1500000</v>
      </c>
      <c r="I298" s="9"/>
      <c r="J298" s="10">
        <f t="shared" si="4"/>
        <v>18571463</v>
      </c>
      <c r="K298" s="6" t="s">
        <v>803</v>
      </c>
    </row>
    <row r="299" spans="1:11" x14ac:dyDescent="0.25">
      <c r="A299" s="12">
        <v>297</v>
      </c>
      <c r="B299" s="13">
        <v>45996</v>
      </c>
      <c r="C299" s="13">
        <v>45996</v>
      </c>
      <c r="D299" s="14" t="s">
        <v>547</v>
      </c>
      <c r="E299" s="14" t="s">
        <v>548</v>
      </c>
      <c r="F299" s="15" t="s">
        <v>659</v>
      </c>
      <c r="G299" s="16" t="s">
        <v>655</v>
      </c>
      <c r="H299" s="17"/>
      <c r="I299" s="17">
        <v>432000</v>
      </c>
      <c r="J299" s="18">
        <f t="shared" si="4"/>
        <v>19003463</v>
      </c>
      <c r="K299" s="14" t="s">
        <v>842</v>
      </c>
    </row>
    <row r="300" spans="1:11" x14ac:dyDescent="0.25">
      <c r="A300" s="12">
        <v>298</v>
      </c>
      <c r="B300" s="13">
        <v>45998</v>
      </c>
      <c r="C300" s="13">
        <v>45998</v>
      </c>
      <c r="D300" s="14" t="s">
        <v>549</v>
      </c>
      <c r="E300" s="14" t="s">
        <v>550</v>
      </c>
      <c r="F300" s="15" t="s">
        <v>659</v>
      </c>
      <c r="G300" s="16" t="s">
        <v>655</v>
      </c>
      <c r="H300" s="17"/>
      <c r="I300" s="17">
        <v>648000</v>
      </c>
      <c r="J300" s="18">
        <f t="shared" si="4"/>
        <v>19651463</v>
      </c>
      <c r="K300" s="14" t="s">
        <v>843</v>
      </c>
    </row>
    <row r="301" spans="1:11" x14ac:dyDescent="0.25">
      <c r="A301" s="4">
        <v>299</v>
      </c>
      <c r="B301" s="5">
        <v>46000</v>
      </c>
      <c r="C301" s="5">
        <v>46000</v>
      </c>
      <c r="D301" s="6" t="s">
        <v>551</v>
      </c>
      <c r="E301" s="6" t="s">
        <v>552</v>
      </c>
      <c r="F301" s="7" t="s">
        <v>665</v>
      </c>
      <c r="G301" s="8" t="s">
        <v>655</v>
      </c>
      <c r="H301" s="9"/>
      <c r="I301" s="9">
        <v>500000</v>
      </c>
      <c r="J301" s="10">
        <f t="shared" si="4"/>
        <v>20151463</v>
      </c>
      <c r="K301" s="6" t="s">
        <v>803</v>
      </c>
    </row>
    <row r="302" spans="1:11" x14ac:dyDescent="0.25">
      <c r="A302" s="4">
        <v>300</v>
      </c>
      <c r="B302" s="5">
        <v>46003</v>
      </c>
      <c r="C302" s="5">
        <v>46003</v>
      </c>
      <c r="D302" s="6" t="s">
        <v>553</v>
      </c>
      <c r="E302" s="6" t="s">
        <v>501</v>
      </c>
      <c r="F302" s="7" t="s">
        <v>658</v>
      </c>
      <c r="G302" s="8" t="s">
        <v>655</v>
      </c>
      <c r="H302" s="9"/>
      <c r="I302" s="9">
        <v>295000</v>
      </c>
      <c r="J302" s="10">
        <f t="shared" si="4"/>
        <v>20446463</v>
      </c>
      <c r="K302" s="6" t="s">
        <v>844</v>
      </c>
    </row>
    <row r="303" spans="1:11" x14ac:dyDescent="0.25">
      <c r="A303" s="4">
        <v>301</v>
      </c>
      <c r="B303" s="5">
        <v>46006</v>
      </c>
      <c r="C303" s="5">
        <v>46006</v>
      </c>
      <c r="D303" s="6" t="s">
        <v>554</v>
      </c>
      <c r="E303" s="6" t="s">
        <v>555</v>
      </c>
      <c r="F303" s="7" t="s">
        <v>659</v>
      </c>
      <c r="G303" s="11" t="s">
        <v>657</v>
      </c>
      <c r="H303" s="9">
        <v>200000</v>
      </c>
      <c r="I303" s="9"/>
      <c r="J303" s="10">
        <f t="shared" si="4"/>
        <v>20246463</v>
      </c>
      <c r="K303" s="6" t="s">
        <v>683</v>
      </c>
    </row>
    <row r="304" spans="1:11" x14ac:dyDescent="0.25">
      <c r="A304" s="4">
        <v>302</v>
      </c>
      <c r="B304" s="5">
        <v>46006</v>
      </c>
      <c r="C304" s="5">
        <v>46006</v>
      </c>
      <c r="D304" s="6" t="s">
        <v>556</v>
      </c>
      <c r="E304" s="6" t="s">
        <v>557</v>
      </c>
      <c r="F304" s="7" t="s">
        <v>665</v>
      </c>
      <c r="G304" s="11" t="s">
        <v>657</v>
      </c>
      <c r="H304" s="9">
        <v>500000</v>
      </c>
      <c r="I304" s="9"/>
      <c r="J304" s="10">
        <f t="shared" si="4"/>
        <v>19746463</v>
      </c>
      <c r="K304" s="6" t="s">
        <v>803</v>
      </c>
    </row>
    <row r="305" spans="1:11" x14ac:dyDescent="0.25">
      <c r="A305" s="4">
        <v>303</v>
      </c>
      <c r="B305" s="5">
        <v>46007</v>
      </c>
      <c r="C305" s="5">
        <v>46007</v>
      </c>
      <c r="D305" s="6" t="s">
        <v>558</v>
      </c>
      <c r="E305" s="6" t="s">
        <v>559</v>
      </c>
      <c r="F305" s="7" t="s">
        <v>659</v>
      </c>
      <c r="G305" s="11" t="s">
        <v>657</v>
      </c>
      <c r="H305" s="9">
        <v>320000</v>
      </c>
      <c r="I305" s="9"/>
      <c r="J305" s="10">
        <f t="shared" si="4"/>
        <v>19426463</v>
      </c>
      <c r="K305" s="6" t="s">
        <v>683</v>
      </c>
    </row>
    <row r="306" spans="1:11" x14ac:dyDescent="0.25">
      <c r="A306" s="4">
        <v>304</v>
      </c>
      <c r="B306" s="5">
        <v>46015</v>
      </c>
      <c r="C306" s="5">
        <v>46015</v>
      </c>
      <c r="D306" s="6" t="s">
        <v>560</v>
      </c>
      <c r="E306" s="6" t="s">
        <v>561</v>
      </c>
      <c r="F306" s="7" t="s">
        <v>659</v>
      </c>
      <c r="G306" s="11" t="s">
        <v>657</v>
      </c>
      <c r="H306" s="9">
        <v>925000</v>
      </c>
      <c r="I306" s="9"/>
      <c r="J306" s="10">
        <f t="shared" si="4"/>
        <v>18501463</v>
      </c>
      <c r="K306" s="6" t="s">
        <v>688</v>
      </c>
    </row>
    <row r="307" spans="1:11" x14ac:dyDescent="0.25">
      <c r="A307" s="4">
        <v>305</v>
      </c>
      <c r="B307" s="5">
        <v>46018</v>
      </c>
      <c r="C307" s="5">
        <v>46018</v>
      </c>
      <c r="D307" s="6" t="s">
        <v>562</v>
      </c>
      <c r="E307" s="6" t="s">
        <v>563</v>
      </c>
      <c r="F307" s="7" t="s">
        <v>654</v>
      </c>
      <c r="G307" s="8" t="s">
        <v>655</v>
      </c>
      <c r="H307" s="9"/>
      <c r="I307" s="9">
        <v>18500</v>
      </c>
      <c r="J307" s="10">
        <f t="shared" si="4"/>
        <v>18519963</v>
      </c>
      <c r="K307" s="6" t="s">
        <v>668</v>
      </c>
    </row>
    <row r="308" spans="1:11" x14ac:dyDescent="0.25">
      <c r="A308" s="4">
        <v>306</v>
      </c>
      <c r="B308" s="5">
        <v>46018</v>
      </c>
      <c r="C308" s="5">
        <v>46018</v>
      </c>
      <c r="D308" s="6" t="s">
        <v>564</v>
      </c>
      <c r="E308" s="6" t="s">
        <v>563</v>
      </c>
      <c r="F308" s="7" t="s">
        <v>654</v>
      </c>
      <c r="G308" s="8" t="s">
        <v>655</v>
      </c>
      <c r="H308" s="9"/>
      <c r="I308" s="9">
        <v>22000</v>
      </c>
      <c r="J308" s="10">
        <f t="shared" si="4"/>
        <v>18541963</v>
      </c>
      <c r="K308" s="6" t="s">
        <v>668</v>
      </c>
    </row>
    <row r="309" spans="1:11" x14ac:dyDescent="0.25">
      <c r="A309" s="4">
        <v>307</v>
      </c>
      <c r="B309" s="5">
        <v>46018</v>
      </c>
      <c r="C309" s="5">
        <v>46018</v>
      </c>
      <c r="D309" s="6" t="s">
        <v>565</v>
      </c>
      <c r="E309" s="6" t="s">
        <v>566</v>
      </c>
      <c r="F309" s="7" t="s">
        <v>656</v>
      </c>
      <c r="G309" s="11" t="s">
        <v>657</v>
      </c>
      <c r="H309" s="9">
        <v>2400</v>
      </c>
      <c r="I309" s="9"/>
      <c r="J309" s="10">
        <f t="shared" si="4"/>
        <v>18539563</v>
      </c>
      <c r="K309" s="6" t="s">
        <v>669</v>
      </c>
    </row>
    <row r="310" spans="1:11" x14ac:dyDescent="0.25">
      <c r="A310" s="4">
        <v>308</v>
      </c>
      <c r="B310" s="5">
        <v>46018</v>
      </c>
      <c r="C310" s="5">
        <v>46018</v>
      </c>
      <c r="D310" s="6" t="s">
        <v>567</v>
      </c>
      <c r="E310" s="6" t="s">
        <v>568</v>
      </c>
      <c r="F310" s="7" t="s">
        <v>656</v>
      </c>
      <c r="G310" s="11" t="s">
        <v>657</v>
      </c>
      <c r="H310" s="9">
        <v>432</v>
      </c>
      <c r="I310" s="9"/>
      <c r="J310" s="10">
        <f t="shared" si="4"/>
        <v>18539131</v>
      </c>
      <c r="K310" s="6" t="s">
        <v>669</v>
      </c>
    </row>
    <row r="311" spans="1:11" x14ac:dyDescent="0.25">
      <c r="A311" s="4">
        <v>309</v>
      </c>
      <c r="B311" s="5">
        <v>46018</v>
      </c>
      <c r="C311" s="5">
        <v>46018</v>
      </c>
      <c r="D311" s="6" t="s">
        <v>569</v>
      </c>
      <c r="E311" s="6" t="s">
        <v>570</v>
      </c>
      <c r="F311" s="7" t="s">
        <v>659</v>
      </c>
      <c r="G311" s="11" t="s">
        <v>657</v>
      </c>
      <c r="H311" s="9">
        <v>150000</v>
      </c>
      <c r="I311" s="9"/>
      <c r="J311" s="10">
        <f t="shared" si="4"/>
        <v>18389131</v>
      </c>
      <c r="K311" s="6" t="s">
        <v>675</v>
      </c>
    </row>
    <row r="312" spans="1:11" x14ac:dyDescent="0.25">
      <c r="A312" s="4">
        <v>310</v>
      </c>
      <c r="B312" s="5">
        <v>46021</v>
      </c>
      <c r="C312" s="5">
        <v>46021</v>
      </c>
      <c r="D312" s="6" t="s">
        <v>571</v>
      </c>
      <c r="E312" s="6" t="s">
        <v>572</v>
      </c>
      <c r="F312" s="7" t="s">
        <v>659</v>
      </c>
      <c r="G312" s="11" t="s">
        <v>657</v>
      </c>
      <c r="H312" s="9">
        <v>20000</v>
      </c>
      <c r="I312" s="9"/>
      <c r="J312" s="10">
        <f t="shared" si="4"/>
        <v>18369131</v>
      </c>
      <c r="K312" s="6" t="s">
        <v>675</v>
      </c>
    </row>
    <row r="313" spans="1:11" x14ac:dyDescent="0.25">
      <c r="A313" s="4">
        <v>311</v>
      </c>
      <c r="B313" s="5">
        <v>46021</v>
      </c>
      <c r="C313" s="5">
        <v>46021</v>
      </c>
      <c r="D313" s="6" t="s">
        <v>573</v>
      </c>
      <c r="E313" s="6" t="s">
        <v>574</v>
      </c>
      <c r="F313" s="7" t="s">
        <v>659</v>
      </c>
      <c r="G313" s="11" t="s">
        <v>657</v>
      </c>
      <c r="H313" s="9">
        <v>20000</v>
      </c>
      <c r="I313" s="9"/>
      <c r="J313" s="10">
        <f t="shared" si="4"/>
        <v>18349131</v>
      </c>
      <c r="K313" s="6" t="s">
        <v>675</v>
      </c>
    </row>
    <row r="314" spans="1:11" x14ac:dyDescent="0.25">
      <c r="A314" s="26">
        <v>312</v>
      </c>
      <c r="B314" s="27">
        <v>46022</v>
      </c>
      <c r="C314" s="27">
        <v>46022</v>
      </c>
      <c r="D314" s="28" t="s">
        <v>575</v>
      </c>
      <c r="E314" s="28" t="s">
        <v>576</v>
      </c>
      <c r="F314" s="29" t="s">
        <v>659</v>
      </c>
      <c r="G314" s="30" t="s">
        <v>655</v>
      </c>
      <c r="H314" s="31"/>
      <c r="I314" s="31">
        <v>30000</v>
      </c>
      <c r="J314" s="32">
        <f t="shared" si="4"/>
        <v>18379131</v>
      </c>
      <c r="K314" s="28" t="s">
        <v>723</v>
      </c>
    </row>
    <row r="315" spans="1:11" x14ac:dyDescent="0.25">
      <c r="A315" s="12">
        <v>313</v>
      </c>
      <c r="B315" s="13">
        <v>46025</v>
      </c>
      <c r="C315" s="13">
        <v>46025</v>
      </c>
      <c r="D315" s="14" t="s">
        <v>577</v>
      </c>
      <c r="E315" s="14" t="s">
        <v>578</v>
      </c>
      <c r="F315" s="15" t="s">
        <v>659</v>
      </c>
      <c r="G315" s="16" t="s">
        <v>655</v>
      </c>
      <c r="H315" s="17"/>
      <c r="I315" s="17">
        <v>432000</v>
      </c>
      <c r="J315" s="18">
        <f t="shared" si="4"/>
        <v>18811131</v>
      </c>
      <c r="K315" s="14" t="s">
        <v>845</v>
      </c>
    </row>
    <row r="316" spans="1:11" x14ac:dyDescent="0.25">
      <c r="A316" s="12">
        <v>314</v>
      </c>
      <c r="B316" s="13">
        <v>46025</v>
      </c>
      <c r="C316" s="13">
        <v>46025</v>
      </c>
      <c r="D316" s="14" t="s">
        <v>579</v>
      </c>
      <c r="E316" s="14" t="s">
        <v>361</v>
      </c>
      <c r="F316" s="15" t="s">
        <v>659</v>
      </c>
      <c r="G316" s="16" t="s">
        <v>655</v>
      </c>
      <c r="H316" s="17"/>
      <c r="I316" s="17">
        <v>324000</v>
      </c>
      <c r="J316" s="18">
        <f t="shared" si="4"/>
        <v>19135131</v>
      </c>
      <c r="K316" s="14" t="s">
        <v>846</v>
      </c>
    </row>
    <row r="317" spans="1:11" x14ac:dyDescent="0.25">
      <c r="A317" s="19">
        <v>315</v>
      </c>
      <c r="B317" s="20">
        <v>46026</v>
      </c>
      <c r="C317" s="20">
        <v>46026</v>
      </c>
      <c r="D317" s="21" t="s">
        <v>580</v>
      </c>
      <c r="E317" s="21" t="s">
        <v>581</v>
      </c>
      <c r="F317" s="22" t="s">
        <v>658</v>
      </c>
      <c r="G317" s="23" t="s">
        <v>655</v>
      </c>
      <c r="H317" s="24"/>
      <c r="I317" s="24">
        <v>150000</v>
      </c>
      <c r="J317" s="25">
        <f t="shared" si="4"/>
        <v>19285131</v>
      </c>
      <c r="K317" s="21" t="s">
        <v>847</v>
      </c>
    </row>
    <row r="318" spans="1:11" x14ac:dyDescent="0.25">
      <c r="A318" s="4">
        <v>316</v>
      </c>
      <c r="B318" s="5">
        <v>46028</v>
      </c>
      <c r="C318" s="5">
        <v>46028</v>
      </c>
      <c r="D318" s="6" t="s">
        <v>582</v>
      </c>
      <c r="E318" s="6" t="s">
        <v>166</v>
      </c>
      <c r="F318" s="7" t="s">
        <v>659</v>
      </c>
      <c r="G318" s="8" t="s">
        <v>655</v>
      </c>
      <c r="H318" s="9"/>
      <c r="I318" s="9">
        <v>354000</v>
      </c>
      <c r="J318" s="10">
        <f t="shared" si="4"/>
        <v>19639131</v>
      </c>
      <c r="K318" s="6" t="s">
        <v>848</v>
      </c>
    </row>
    <row r="319" spans="1:11" x14ac:dyDescent="0.25">
      <c r="A319" s="4">
        <v>317</v>
      </c>
      <c r="B319" s="5">
        <v>46029</v>
      </c>
      <c r="C319" s="5">
        <v>46029</v>
      </c>
      <c r="D319" s="6" t="s">
        <v>583</v>
      </c>
      <c r="E319" s="6" t="s">
        <v>584</v>
      </c>
      <c r="F319" s="7" t="s">
        <v>659</v>
      </c>
      <c r="G319" s="11" t="s">
        <v>657</v>
      </c>
      <c r="H319" s="9">
        <v>150000</v>
      </c>
      <c r="I319" s="9"/>
      <c r="J319" s="10">
        <f t="shared" si="4"/>
        <v>19489131</v>
      </c>
      <c r="K319" s="6" t="s">
        <v>683</v>
      </c>
    </row>
    <row r="320" spans="1:11" x14ac:dyDescent="0.25">
      <c r="A320" s="4">
        <v>318</v>
      </c>
      <c r="B320" s="5">
        <v>46029</v>
      </c>
      <c r="C320" s="5">
        <v>46029</v>
      </c>
      <c r="D320" s="6" t="s">
        <v>585</v>
      </c>
      <c r="E320" s="6" t="s">
        <v>586</v>
      </c>
      <c r="F320" s="7" t="s">
        <v>661</v>
      </c>
      <c r="G320" s="11" t="s">
        <v>657</v>
      </c>
      <c r="H320" s="9">
        <v>18000</v>
      </c>
      <c r="I320" s="9"/>
      <c r="J320" s="10">
        <f t="shared" si="4"/>
        <v>19471131</v>
      </c>
      <c r="K320" s="6" t="s">
        <v>831</v>
      </c>
    </row>
    <row r="321" spans="1:11" x14ac:dyDescent="0.25">
      <c r="A321" s="4">
        <v>319</v>
      </c>
      <c r="B321" s="5">
        <v>46029</v>
      </c>
      <c r="C321" s="5">
        <v>46029</v>
      </c>
      <c r="D321" s="6" t="s">
        <v>587</v>
      </c>
      <c r="E321" s="6" t="s">
        <v>586</v>
      </c>
      <c r="F321" s="7" t="s">
        <v>661</v>
      </c>
      <c r="G321" s="11" t="s">
        <v>657</v>
      </c>
      <c r="H321" s="9">
        <v>18000</v>
      </c>
      <c r="I321" s="9"/>
      <c r="J321" s="10">
        <f t="shared" si="4"/>
        <v>19453131</v>
      </c>
      <c r="K321" s="6" t="s">
        <v>751</v>
      </c>
    </row>
    <row r="322" spans="1:11" x14ac:dyDescent="0.25">
      <c r="A322" s="4">
        <v>320</v>
      </c>
      <c r="B322" s="5">
        <v>46031</v>
      </c>
      <c r="C322" s="5">
        <v>46031</v>
      </c>
      <c r="D322" s="6" t="s">
        <v>588</v>
      </c>
      <c r="E322" s="6" t="s">
        <v>589</v>
      </c>
      <c r="F322" s="7" t="s">
        <v>659</v>
      </c>
      <c r="G322" s="8" t="s">
        <v>655</v>
      </c>
      <c r="H322" s="9"/>
      <c r="I322" s="9">
        <v>94400</v>
      </c>
      <c r="J322" s="10">
        <f t="shared" si="4"/>
        <v>19547531</v>
      </c>
      <c r="K322" s="6" t="s">
        <v>849</v>
      </c>
    </row>
    <row r="323" spans="1:11" x14ac:dyDescent="0.25">
      <c r="A323" s="4">
        <v>321</v>
      </c>
      <c r="B323" s="5">
        <v>46031</v>
      </c>
      <c r="C323" s="5">
        <v>46031</v>
      </c>
      <c r="D323" s="6" t="s">
        <v>590</v>
      </c>
      <c r="E323" s="6" t="s">
        <v>591</v>
      </c>
      <c r="F323" s="7" t="s">
        <v>665</v>
      </c>
      <c r="G323" s="11" t="s">
        <v>657</v>
      </c>
      <c r="H323" s="9">
        <v>1500000</v>
      </c>
      <c r="I323" s="9"/>
      <c r="J323" s="10">
        <f t="shared" ref="J323:J353" si="5">J322+I323-H323</f>
        <v>18047531</v>
      </c>
      <c r="K323" s="6" t="s">
        <v>803</v>
      </c>
    </row>
    <row r="324" spans="1:11" x14ac:dyDescent="0.25">
      <c r="A324" s="4">
        <v>322</v>
      </c>
      <c r="B324" s="5">
        <v>46032</v>
      </c>
      <c r="C324" s="5">
        <v>46032</v>
      </c>
      <c r="D324" s="6" t="s">
        <v>592</v>
      </c>
      <c r="E324" s="6" t="s">
        <v>103</v>
      </c>
      <c r="F324" s="7" t="s">
        <v>659</v>
      </c>
      <c r="G324" s="8" t="s">
        <v>655</v>
      </c>
      <c r="H324" s="9"/>
      <c r="I324" s="9">
        <v>59000</v>
      </c>
      <c r="J324" s="10">
        <f t="shared" si="5"/>
        <v>18106531</v>
      </c>
      <c r="K324" s="6" t="s">
        <v>850</v>
      </c>
    </row>
    <row r="325" spans="1:11" x14ac:dyDescent="0.25">
      <c r="A325" s="4">
        <v>323</v>
      </c>
      <c r="B325" s="5">
        <v>46033</v>
      </c>
      <c r="C325" s="5">
        <v>46033</v>
      </c>
      <c r="D325" s="6" t="s">
        <v>593</v>
      </c>
      <c r="E325" s="6" t="s">
        <v>594</v>
      </c>
      <c r="F325" s="7" t="s">
        <v>659</v>
      </c>
      <c r="G325" s="11" t="s">
        <v>657</v>
      </c>
      <c r="H325" s="9">
        <v>15000</v>
      </c>
      <c r="I325" s="9"/>
      <c r="J325" s="10">
        <f t="shared" si="5"/>
        <v>18091531</v>
      </c>
      <c r="K325" s="6" t="s">
        <v>675</v>
      </c>
    </row>
    <row r="326" spans="1:11" x14ac:dyDescent="0.25">
      <c r="A326" s="4">
        <v>324</v>
      </c>
      <c r="B326" s="5">
        <v>46033</v>
      </c>
      <c r="C326" s="5">
        <v>46033</v>
      </c>
      <c r="D326" s="6" t="s">
        <v>595</v>
      </c>
      <c r="E326" s="6" t="s">
        <v>596</v>
      </c>
      <c r="F326" s="7" t="s">
        <v>659</v>
      </c>
      <c r="G326" s="11" t="s">
        <v>657</v>
      </c>
      <c r="H326" s="9">
        <v>20000</v>
      </c>
      <c r="I326" s="9"/>
      <c r="J326" s="10">
        <f t="shared" si="5"/>
        <v>18071531</v>
      </c>
      <c r="K326" s="6" t="s">
        <v>675</v>
      </c>
    </row>
    <row r="327" spans="1:11" x14ac:dyDescent="0.25">
      <c r="A327" s="4">
        <v>325</v>
      </c>
      <c r="B327" s="5">
        <v>46037</v>
      </c>
      <c r="C327" s="5">
        <v>46037</v>
      </c>
      <c r="D327" s="6" t="s">
        <v>597</v>
      </c>
      <c r="E327" s="6" t="s">
        <v>598</v>
      </c>
      <c r="F327" s="7" t="s">
        <v>659</v>
      </c>
      <c r="G327" s="11" t="s">
        <v>657</v>
      </c>
      <c r="H327" s="9">
        <v>350000</v>
      </c>
      <c r="I327" s="9"/>
      <c r="J327" s="10">
        <f t="shared" si="5"/>
        <v>17721531</v>
      </c>
      <c r="K327" s="6" t="s">
        <v>683</v>
      </c>
    </row>
    <row r="328" spans="1:11" x14ac:dyDescent="0.25">
      <c r="A328" s="4">
        <v>326</v>
      </c>
      <c r="B328" s="5">
        <v>46038</v>
      </c>
      <c r="C328" s="5">
        <v>46038</v>
      </c>
      <c r="D328" s="6" t="s">
        <v>599</v>
      </c>
      <c r="E328" s="6" t="s">
        <v>172</v>
      </c>
      <c r="F328" s="7" t="s">
        <v>659</v>
      </c>
      <c r="G328" s="8" t="s">
        <v>655</v>
      </c>
      <c r="H328" s="9"/>
      <c r="I328" s="9">
        <v>118000</v>
      </c>
      <c r="J328" s="10">
        <f t="shared" si="5"/>
        <v>17839531</v>
      </c>
      <c r="K328" s="6" t="s">
        <v>851</v>
      </c>
    </row>
    <row r="329" spans="1:11" x14ac:dyDescent="0.25">
      <c r="A329" s="4">
        <v>327</v>
      </c>
      <c r="B329" s="5">
        <v>46045</v>
      </c>
      <c r="C329" s="5">
        <v>46045</v>
      </c>
      <c r="D329" s="6" t="s">
        <v>600</v>
      </c>
      <c r="E329" s="6" t="s">
        <v>601</v>
      </c>
      <c r="F329" s="7" t="s">
        <v>659</v>
      </c>
      <c r="G329" s="11" t="s">
        <v>657</v>
      </c>
      <c r="H329" s="9">
        <v>900000</v>
      </c>
      <c r="I329" s="9"/>
      <c r="J329" s="10">
        <f t="shared" si="5"/>
        <v>16939531</v>
      </c>
      <c r="K329" s="6" t="s">
        <v>688</v>
      </c>
    </row>
    <row r="330" spans="1:11" x14ac:dyDescent="0.25">
      <c r="A330" s="4">
        <v>328</v>
      </c>
      <c r="B330" s="5">
        <v>46045</v>
      </c>
      <c r="C330" s="5">
        <v>46045</v>
      </c>
      <c r="D330" s="6" t="s">
        <v>602</v>
      </c>
      <c r="E330" s="6" t="s">
        <v>603</v>
      </c>
      <c r="F330" s="7" t="s">
        <v>665</v>
      </c>
      <c r="G330" s="8" t="s">
        <v>655</v>
      </c>
      <c r="H330" s="9"/>
      <c r="I330" s="9">
        <v>1500000</v>
      </c>
      <c r="J330" s="10">
        <f t="shared" si="5"/>
        <v>18439531</v>
      </c>
      <c r="K330" s="6" t="s">
        <v>803</v>
      </c>
    </row>
    <row r="331" spans="1:11" x14ac:dyDescent="0.25">
      <c r="A331" s="4">
        <v>329</v>
      </c>
      <c r="B331" s="5">
        <v>46048</v>
      </c>
      <c r="C331" s="5">
        <v>46048</v>
      </c>
      <c r="D331" s="6" t="s">
        <v>604</v>
      </c>
      <c r="E331" s="6" t="s">
        <v>605</v>
      </c>
      <c r="F331" s="7" t="s">
        <v>654</v>
      </c>
      <c r="G331" s="8" t="s">
        <v>655</v>
      </c>
      <c r="H331" s="9"/>
      <c r="I331" s="9">
        <v>18500</v>
      </c>
      <c r="J331" s="10">
        <f t="shared" si="5"/>
        <v>18458031</v>
      </c>
      <c r="K331" s="6" t="s">
        <v>668</v>
      </c>
    </row>
    <row r="332" spans="1:11" x14ac:dyDescent="0.25">
      <c r="A332" s="4">
        <v>330</v>
      </c>
      <c r="B332" s="5">
        <v>46048</v>
      </c>
      <c r="C332" s="5">
        <v>46048</v>
      </c>
      <c r="D332" s="6" t="s">
        <v>606</v>
      </c>
      <c r="E332" s="6" t="s">
        <v>605</v>
      </c>
      <c r="F332" s="7" t="s">
        <v>654</v>
      </c>
      <c r="G332" s="8" t="s">
        <v>655</v>
      </c>
      <c r="H332" s="9"/>
      <c r="I332" s="9">
        <v>22000</v>
      </c>
      <c r="J332" s="10">
        <f t="shared" si="5"/>
        <v>18480031</v>
      </c>
      <c r="K332" s="6" t="s">
        <v>668</v>
      </c>
    </row>
    <row r="333" spans="1:11" x14ac:dyDescent="0.25">
      <c r="A333" s="4">
        <v>331</v>
      </c>
      <c r="B333" s="5">
        <v>46048</v>
      </c>
      <c r="C333" s="5">
        <v>46048</v>
      </c>
      <c r="D333" s="6" t="s">
        <v>607</v>
      </c>
      <c r="E333" s="6" t="s">
        <v>608</v>
      </c>
      <c r="F333" s="7" t="s">
        <v>656</v>
      </c>
      <c r="G333" s="11" t="s">
        <v>657</v>
      </c>
      <c r="H333" s="9">
        <v>2400</v>
      </c>
      <c r="I333" s="9"/>
      <c r="J333" s="10">
        <f t="shared" si="5"/>
        <v>18477631</v>
      </c>
      <c r="K333" s="6" t="s">
        <v>669</v>
      </c>
    </row>
    <row r="334" spans="1:11" x14ac:dyDescent="0.25">
      <c r="A334" s="4">
        <v>332</v>
      </c>
      <c r="B334" s="5">
        <v>46048</v>
      </c>
      <c r="C334" s="5">
        <v>46048</v>
      </c>
      <c r="D334" s="6" t="s">
        <v>609</v>
      </c>
      <c r="E334" s="6" t="s">
        <v>610</v>
      </c>
      <c r="F334" s="7" t="s">
        <v>656</v>
      </c>
      <c r="G334" s="11" t="s">
        <v>657</v>
      </c>
      <c r="H334" s="9">
        <v>432</v>
      </c>
      <c r="I334" s="9"/>
      <c r="J334" s="10">
        <f t="shared" si="5"/>
        <v>18477199</v>
      </c>
      <c r="K334" s="6" t="s">
        <v>669</v>
      </c>
    </row>
    <row r="335" spans="1:11" x14ac:dyDescent="0.25">
      <c r="A335" s="4">
        <v>333</v>
      </c>
      <c r="B335" s="5">
        <v>46048</v>
      </c>
      <c r="C335" s="5">
        <v>46048</v>
      </c>
      <c r="D335" s="6" t="s">
        <v>611</v>
      </c>
      <c r="E335" s="6" t="s">
        <v>612</v>
      </c>
      <c r="F335" s="7" t="s">
        <v>659</v>
      </c>
      <c r="G335" s="11" t="s">
        <v>657</v>
      </c>
      <c r="H335" s="9">
        <v>150000</v>
      </c>
      <c r="I335" s="9"/>
      <c r="J335" s="10">
        <f t="shared" si="5"/>
        <v>18327199</v>
      </c>
      <c r="K335" s="6" t="s">
        <v>675</v>
      </c>
    </row>
    <row r="336" spans="1:11" x14ac:dyDescent="0.25">
      <c r="A336" s="19">
        <v>334</v>
      </c>
      <c r="B336" s="20">
        <v>46057</v>
      </c>
      <c r="C336" s="20">
        <v>46057</v>
      </c>
      <c r="D336" s="21" t="s">
        <v>613</v>
      </c>
      <c r="E336" s="21" t="s">
        <v>614</v>
      </c>
      <c r="F336" s="22" t="s">
        <v>658</v>
      </c>
      <c r="G336" s="23" t="s">
        <v>655</v>
      </c>
      <c r="H336" s="24"/>
      <c r="I336" s="24">
        <v>200000</v>
      </c>
      <c r="J336" s="25">
        <f t="shared" si="5"/>
        <v>18527199</v>
      </c>
      <c r="K336" s="21" t="s">
        <v>852</v>
      </c>
    </row>
    <row r="337" spans="1:11" x14ac:dyDescent="0.25">
      <c r="A337" s="4">
        <v>335</v>
      </c>
      <c r="B337" s="5">
        <v>46067</v>
      </c>
      <c r="C337" s="5">
        <v>46067</v>
      </c>
      <c r="D337" s="6" t="s">
        <v>615</v>
      </c>
      <c r="E337" s="6" t="s">
        <v>616</v>
      </c>
      <c r="F337" s="7" t="s">
        <v>659</v>
      </c>
      <c r="G337" s="11" t="s">
        <v>657</v>
      </c>
      <c r="H337" s="9">
        <v>280000</v>
      </c>
      <c r="I337" s="9"/>
      <c r="J337" s="10">
        <f t="shared" si="5"/>
        <v>18247199</v>
      </c>
      <c r="K337" s="6" t="s">
        <v>683</v>
      </c>
    </row>
    <row r="338" spans="1:11" x14ac:dyDescent="0.25">
      <c r="A338" s="4">
        <v>336</v>
      </c>
      <c r="B338" s="5">
        <v>46069</v>
      </c>
      <c r="C338" s="5">
        <v>46069</v>
      </c>
      <c r="D338" s="6" t="s">
        <v>617</v>
      </c>
      <c r="E338" s="6" t="s">
        <v>618</v>
      </c>
      <c r="F338" s="7" t="s">
        <v>659</v>
      </c>
      <c r="G338" s="11" t="s">
        <v>657</v>
      </c>
      <c r="H338" s="9">
        <v>30000</v>
      </c>
      <c r="I338" s="9"/>
      <c r="J338" s="10">
        <f t="shared" si="5"/>
        <v>18217199</v>
      </c>
      <c r="K338" s="6" t="s">
        <v>675</v>
      </c>
    </row>
    <row r="339" spans="1:11" x14ac:dyDescent="0.25">
      <c r="A339" s="4">
        <v>337</v>
      </c>
      <c r="B339" s="5">
        <v>46073</v>
      </c>
      <c r="C339" s="5">
        <v>46073</v>
      </c>
      <c r="D339" s="6" t="s">
        <v>619</v>
      </c>
      <c r="E339" s="6" t="s">
        <v>620</v>
      </c>
      <c r="F339" s="7" t="s">
        <v>659</v>
      </c>
      <c r="G339" s="11" t="s">
        <v>657</v>
      </c>
      <c r="H339" s="9">
        <v>15000</v>
      </c>
      <c r="I339" s="9"/>
      <c r="J339" s="10">
        <f t="shared" si="5"/>
        <v>18202199</v>
      </c>
      <c r="K339" s="6" t="s">
        <v>675</v>
      </c>
    </row>
    <row r="340" spans="1:11" x14ac:dyDescent="0.25">
      <c r="A340" s="4">
        <v>338</v>
      </c>
      <c r="B340" s="5">
        <v>46075</v>
      </c>
      <c r="C340" s="5">
        <v>46075</v>
      </c>
      <c r="D340" s="6" t="s">
        <v>621</v>
      </c>
      <c r="E340" s="6" t="s">
        <v>622</v>
      </c>
      <c r="F340" s="7" t="s">
        <v>659</v>
      </c>
      <c r="G340" s="11" t="s">
        <v>657</v>
      </c>
      <c r="H340" s="9">
        <v>875000</v>
      </c>
      <c r="I340" s="9"/>
      <c r="J340" s="10">
        <f t="shared" si="5"/>
        <v>17327199</v>
      </c>
      <c r="K340" s="6" t="s">
        <v>688</v>
      </c>
    </row>
    <row r="341" spans="1:11" x14ac:dyDescent="0.25">
      <c r="A341" s="4">
        <v>339</v>
      </c>
      <c r="B341" s="5">
        <v>46077</v>
      </c>
      <c r="C341" s="5">
        <v>46077</v>
      </c>
      <c r="D341" s="6" t="s">
        <v>623</v>
      </c>
      <c r="E341" s="6" t="s">
        <v>624</v>
      </c>
      <c r="F341" s="7" t="s">
        <v>665</v>
      </c>
      <c r="G341" s="8" t="s">
        <v>655</v>
      </c>
      <c r="H341" s="9"/>
      <c r="I341" s="9">
        <v>500000</v>
      </c>
      <c r="J341" s="10">
        <f t="shared" si="5"/>
        <v>17827199</v>
      </c>
      <c r="K341" s="6" t="s">
        <v>803</v>
      </c>
    </row>
    <row r="342" spans="1:11" x14ac:dyDescent="0.25">
      <c r="A342" s="4">
        <v>340</v>
      </c>
      <c r="B342" s="5">
        <v>46078</v>
      </c>
      <c r="C342" s="5">
        <v>46078</v>
      </c>
      <c r="D342" s="6" t="s">
        <v>625</v>
      </c>
      <c r="E342" s="6" t="s">
        <v>626</v>
      </c>
      <c r="F342" s="7" t="s">
        <v>654</v>
      </c>
      <c r="G342" s="8" t="s">
        <v>655</v>
      </c>
      <c r="H342" s="9"/>
      <c r="I342" s="9">
        <v>18500</v>
      </c>
      <c r="J342" s="10">
        <f t="shared" si="5"/>
        <v>17845699</v>
      </c>
      <c r="K342" s="6" t="s">
        <v>668</v>
      </c>
    </row>
    <row r="343" spans="1:11" x14ac:dyDescent="0.25">
      <c r="A343" s="4">
        <v>341</v>
      </c>
      <c r="B343" s="5">
        <v>46078</v>
      </c>
      <c r="C343" s="5">
        <v>46078</v>
      </c>
      <c r="D343" s="6" t="s">
        <v>627</v>
      </c>
      <c r="E343" s="6" t="s">
        <v>626</v>
      </c>
      <c r="F343" s="7" t="s">
        <v>654</v>
      </c>
      <c r="G343" s="8" t="s">
        <v>655</v>
      </c>
      <c r="H343" s="9"/>
      <c r="I343" s="9">
        <v>22000</v>
      </c>
      <c r="J343" s="10">
        <f t="shared" si="5"/>
        <v>17867699</v>
      </c>
      <c r="K343" s="6" t="s">
        <v>668</v>
      </c>
    </row>
    <row r="344" spans="1:11" x14ac:dyDescent="0.25">
      <c r="A344" s="4">
        <v>342</v>
      </c>
      <c r="B344" s="5">
        <v>46078</v>
      </c>
      <c r="C344" s="5">
        <v>46078</v>
      </c>
      <c r="D344" s="6" t="s">
        <v>628</v>
      </c>
      <c r="E344" s="6" t="s">
        <v>629</v>
      </c>
      <c r="F344" s="7" t="s">
        <v>656</v>
      </c>
      <c r="G344" s="11" t="s">
        <v>657</v>
      </c>
      <c r="H344" s="9">
        <v>2400</v>
      </c>
      <c r="I344" s="9"/>
      <c r="J344" s="10">
        <f t="shared" si="5"/>
        <v>17865299</v>
      </c>
      <c r="K344" s="6" t="s">
        <v>669</v>
      </c>
    </row>
    <row r="345" spans="1:11" x14ac:dyDescent="0.25">
      <c r="A345" s="4">
        <v>343</v>
      </c>
      <c r="B345" s="5">
        <v>46078</v>
      </c>
      <c r="C345" s="5">
        <v>46078</v>
      </c>
      <c r="D345" s="6" t="s">
        <v>630</v>
      </c>
      <c r="E345" s="6" t="s">
        <v>631</v>
      </c>
      <c r="F345" s="7" t="s">
        <v>656</v>
      </c>
      <c r="G345" s="11" t="s">
        <v>657</v>
      </c>
      <c r="H345" s="9">
        <v>432</v>
      </c>
      <c r="I345" s="9"/>
      <c r="J345" s="10">
        <f t="shared" si="5"/>
        <v>17864867</v>
      </c>
      <c r="K345" s="6" t="s">
        <v>669</v>
      </c>
    </row>
    <row r="346" spans="1:11" x14ac:dyDescent="0.25">
      <c r="A346" s="4">
        <v>344</v>
      </c>
      <c r="B346" s="5">
        <v>46078</v>
      </c>
      <c r="C346" s="5">
        <v>46078</v>
      </c>
      <c r="D346" s="6" t="s">
        <v>632</v>
      </c>
      <c r="E346" s="6" t="s">
        <v>633</v>
      </c>
      <c r="F346" s="7" t="s">
        <v>659</v>
      </c>
      <c r="G346" s="11" t="s">
        <v>657</v>
      </c>
      <c r="H346" s="9">
        <v>150000</v>
      </c>
      <c r="I346" s="9"/>
      <c r="J346" s="10">
        <f t="shared" si="5"/>
        <v>17714867</v>
      </c>
      <c r="K346" s="6" t="s">
        <v>675</v>
      </c>
    </row>
    <row r="347" spans="1:11" x14ac:dyDescent="0.25">
      <c r="A347" s="4">
        <v>345</v>
      </c>
      <c r="B347" s="5">
        <v>46096</v>
      </c>
      <c r="C347" s="5">
        <v>46096</v>
      </c>
      <c r="D347" s="6" t="s">
        <v>634</v>
      </c>
      <c r="E347" s="6" t="s">
        <v>635</v>
      </c>
      <c r="F347" s="7" t="s">
        <v>659</v>
      </c>
      <c r="G347" s="11" t="s">
        <v>657</v>
      </c>
      <c r="H347" s="9">
        <v>220000</v>
      </c>
      <c r="I347" s="9"/>
      <c r="J347" s="10">
        <f t="shared" si="5"/>
        <v>17494867</v>
      </c>
      <c r="K347" s="6" t="s">
        <v>683</v>
      </c>
    </row>
    <row r="348" spans="1:11" x14ac:dyDescent="0.25">
      <c r="A348" s="4">
        <v>346</v>
      </c>
      <c r="B348" s="5">
        <v>46096</v>
      </c>
      <c r="C348" s="5">
        <v>46096</v>
      </c>
      <c r="D348" s="6" t="s">
        <v>636</v>
      </c>
      <c r="E348" s="6" t="s">
        <v>637</v>
      </c>
      <c r="F348" s="7" t="s">
        <v>659</v>
      </c>
      <c r="G348" s="11" t="s">
        <v>657</v>
      </c>
      <c r="H348" s="9">
        <v>200000</v>
      </c>
      <c r="I348" s="9"/>
      <c r="J348" s="10">
        <f t="shared" si="5"/>
        <v>17294867</v>
      </c>
      <c r="K348" s="6" t="s">
        <v>683</v>
      </c>
    </row>
    <row r="349" spans="1:11" x14ac:dyDescent="0.25">
      <c r="A349" s="4">
        <v>347</v>
      </c>
      <c r="B349" s="5">
        <v>46097</v>
      </c>
      <c r="C349" s="5">
        <v>46097</v>
      </c>
      <c r="D349" s="6" t="s">
        <v>638</v>
      </c>
      <c r="E349" s="6" t="s">
        <v>639</v>
      </c>
      <c r="F349" s="7" t="s">
        <v>659</v>
      </c>
      <c r="G349" s="11" t="s">
        <v>657</v>
      </c>
      <c r="H349" s="9">
        <v>350000</v>
      </c>
      <c r="I349" s="9"/>
      <c r="J349" s="10">
        <f t="shared" si="5"/>
        <v>16944867</v>
      </c>
      <c r="K349" s="6" t="s">
        <v>683</v>
      </c>
    </row>
    <row r="350" spans="1:11" x14ac:dyDescent="0.25">
      <c r="A350" s="4">
        <v>348</v>
      </c>
      <c r="B350" s="5">
        <v>46105</v>
      </c>
      <c r="C350" s="5">
        <v>46105</v>
      </c>
      <c r="D350" s="6" t="s">
        <v>640</v>
      </c>
      <c r="E350" s="6" t="s">
        <v>641</v>
      </c>
      <c r="F350" s="7" t="s">
        <v>659</v>
      </c>
      <c r="G350" s="11" t="s">
        <v>657</v>
      </c>
      <c r="H350" s="9">
        <v>850000</v>
      </c>
      <c r="I350" s="9"/>
      <c r="J350" s="10">
        <f t="shared" si="5"/>
        <v>16094867</v>
      </c>
      <c r="K350" s="6" t="s">
        <v>688</v>
      </c>
    </row>
    <row r="351" spans="1:11" x14ac:dyDescent="0.25">
      <c r="A351" s="4">
        <v>349</v>
      </c>
      <c r="B351" s="5">
        <v>46108</v>
      </c>
      <c r="C351" s="5">
        <v>46108</v>
      </c>
      <c r="D351" s="6" t="s">
        <v>642</v>
      </c>
      <c r="E351" s="6" t="s">
        <v>643</v>
      </c>
      <c r="F351" s="7" t="s">
        <v>659</v>
      </c>
      <c r="G351" s="11" t="s">
        <v>657</v>
      </c>
      <c r="H351" s="9">
        <v>150000</v>
      </c>
      <c r="I351" s="9"/>
      <c r="J351" s="10">
        <f t="shared" si="5"/>
        <v>15944867</v>
      </c>
      <c r="K351" s="6" t="s">
        <v>675</v>
      </c>
    </row>
    <row r="352" spans="1:11" x14ac:dyDescent="0.25">
      <c r="A352" s="4">
        <v>350</v>
      </c>
      <c r="B352" s="5">
        <v>46115</v>
      </c>
      <c r="C352" s="5">
        <v>46115</v>
      </c>
      <c r="D352" s="6" t="s">
        <v>644</v>
      </c>
      <c r="E352" s="6" t="s">
        <v>645</v>
      </c>
      <c r="F352" s="7" t="s">
        <v>665</v>
      </c>
      <c r="G352" s="8" t="s">
        <v>655</v>
      </c>
      <c r="H352" s="9"/>
      <c r="I352" s="9">
        <v>1500000</v>
      </c>
      <c r="J352" s="10">
        <f t="shared" si="5"/>
        <v>17444867</v>
      </c>
      <c r="K352" s="6" t="s">
        <v>803</v>
      </c>
    </row>
    <row r="353" spans="1:11" x14ac:dyDescent="0.25">
      <c r="A353" s="4">
        <v>351</v>
      </c>
      <c r="B353" s="5">
        <v>46127</v>
      </c>
      <c r="C353" s="5">
        <v>46127</v>
      </c>
      <c r="D353" s="6" t="s">
        <v>646</v>
      </c>
      <c r="E353" s="6" t="s">
        <v>647</v>
      </c>
      <c r="F353" s="7" t="s">
        <v>659</v>
      </c>
      <c r="G353" s="11" t="s">
        <v>657</v>
      </c>
      <c r="H353" s="9">
        <v>350000</v>
      </c>
      <c r="I353" s="9"/>
      <c r="J353" s="10">
        <f t="shared" si="5"/>
        <v>17094867</v>
      </c>
      <c r="K353" s="6" t="s">
        <v>683</v>
      </c>
    </row>
    <row r="354" spans="1:11" x14ac:dyDescent="0.25">
      <c r="A354" s="41" t="s">
        <v>666</v>
      </c>
      <c r="B354" s="41"/>
      <c r="C354" s="41"/>
      <c r="D354" s="41"/>
      <c r="E354" s="41"/>
      <c r="F354" s="41"/>
      <c r="G354" s="41"/>
      <c r="H354" s="41"/>
      <c r="I354" s="41"/>
      <c r="J354" s="42">
        <f>J353</f>
        <v>17094867</v>
      </c>
    </row>
  </sheetData>
  <mergeCells count="2">
    <mergeCell ref="A2:I2"/>
    <mergeCell ref="A354:I35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Bank_Statement_Input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Sawant</cp:lastModifiedBy>
  <dcterms:created xsi:type="dcterms:W3CDTF">2026-06-19T07:22:17Z</dcterms:created>
  <dcterms:modified xsi:type="dcterms:W3CDTF">2026-06-19T09:55:05Z</dcterms:modified>
</cp:coreProperties>
</file>